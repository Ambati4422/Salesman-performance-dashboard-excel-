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Jyosna Reddy\Music\"/>
    </mc:Choice>
  </mc:AlternateContent>
  <xr:revisionPtr revIDLastSave="0" documentId="8_{95E1C941-633F-4E51-AAD2-2284DC25F0C5}" xr6:coauthVersionLast="47" xr6:coauthVersionMax="47" xr10:uidLastSave="{00000000-0000-0000-0000-000000000000}"/>
  <bookViews>
    <workbookView xWindow="-110" yWindow="-110" windowWidth="19420" windowHeight="10300" activeTab="2" xr2:uid="{80B590A0-26F3-4C00-B82F-AB5BC9851E2A}"/>
  </bookViews>
  <sheets>
    <sheet name="Sheet1" sheetId="1" r:id="rId1"/>
    <sheet name="pivot table" sheetId="3" r:id="rId2"/>
    <sheet name="Dashboard" sheetId="2" r:id="rId3"/>
    <sheet name="top selling" sheetId="7" r:id="rId4"/>
    <sheet name="salesman" sheetId="8" r:id="rId5"/>
    <sheet name="About" sheetId="9" r:id="rId6"/>
    <sheet name="products" sheetId="4" state="hidden" r:id="rId7"/>
    <sheet name="hh" sheetId="6" state="hidden" r:id="rId8"/>
    <sheet name="Sheet5" sheetId="5" state="hidden" r:id="rId9"/>
  </sheets>
  <definedNames>
    <definedName name="NativeTimeline_Date">#N/A</definedName>
    <definedName name="Slicer_Place">#N/A</definedName>
    <definedName name="Slicer_Products">#N/A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Q19" i="3"/>
  <c r="Q15" i="3"/>
</calcChain>
</file>

<file path=xl/sharedStrings.xml><?xml version="1.0" encoding="utf-8"?>
<sst xmlns="http://schemas.openxmlformats.org/spreadsheetml/2006/main" count="938" uniqueCount="50">
  <si>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</si>
  <si>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</si>
  <si>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</si>
  <si>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</si>
  <si>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</si>
  <si>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</si>
  <si>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</si>
  <si>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</si>
  <si>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</si>
  <si>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</si>
  <si>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</si>
  <si>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</si>
  <si>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</si>
  <si>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</si>
  <si>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</si>
  <si>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</si>
  <si>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</si>
  <si>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</si>
  <si>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</si>
  <si>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</si>
  <si>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</si>
  <si>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</si>
  <si>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</si>
  <si>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</si>
  <si>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</si>
  <si>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</si>
  <si>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</si>
  <si>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</si>
  <si>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</si>
  <si>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Mar</t>
  </si>
  <si>
    <t>Apr</t>
  </si>
  <si>
    <t>May</t>
  </si>
  <si>
    <t>Jun</t>
  </si>
  <si>
    <t>Jul</t>
  </si>
  <si>
    <t>Aug</t>
  </si>
  <si>
    <t>Sep</t>
  </si>
  <si>
    <t>Oct</t>
  </si>
  <si>
    <t>Nov</t>
  </si>
  <si>
    <t>Dec</t>
  </si>
  <si>
    <t>Sum of Amount</t>
  </si>
  <si>
    <t>Count of Amount</t>
  </si>
  <si>
    <t>Column1</t>
  </si>
  <si>
    <t>Column2</t>
  </si>
  <si>
    <t>Column3</t>
  </si>
  <si>
    <t>Column4</t>
  </si>
  <si>
    <t>Column5</t>
  </si>
  <si>
    <t>Column6</t>
  </si>
  <si>
    <t>Column7</t>
  </si>
  <si>
    <t>Sum of Units</t>
  </si>
  <si>
    <t>About!A1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</si>
</sst>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5" formatCode="_ * #,##0_ ;_ * \-#,##0_ ;_ * &quot;-&quot;??_ ;_ @_ "/>
  </numFmts>
  <fonts count="6" x14ac:knownFonts="1">
    <font>
      <sz val="11"/>
      <color theme="1"/>
      <name val="Calibri"/>
      <family val="2"/>
      <scheme val="minor"/>
    </font>
    <font>
      <b/>
      <sz val="14"/>
      <color rgb="FFFF0000"/>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3">
    <xf numFmtId="0" fontId="0" fillId="0" borderId="0"/>
    <xf numFmtId="43" fontId="3" fillId="0" borderId="0" applyFont="0" applyFill="0" applyBorder="0" applyAlignment="0" applyProtection="0"/>
    <xf numFmtId="0" fontId="5"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4" borderId="0" xfId="0" applyFill="1"/>
    <xf numFmtId="0" fontId="0" fillId="0" borderId="0" xfId="0" pivotButton="1"/>
    <xf numFmtId="0" fontId="0" fillId="0" borderId="0" xfId="0" applyAlignment="1">
      <alignment horizontal="left"/>
    </xf>
    <xf numFmtId="0" fontId="0" fillId="0" borderId="0" xfId="0" applyNumberFormat="1"/>
    <xf numFmtId="43" fontId="0" fillId="0" borderId="0" xfId="1" applyFont="1"/>
    <xf numFmtId="165" fontId="0" fillId="0" borderId="0" xfId="1" applyNumberFormat="1" applyFont="1"/>
    <xf numFmtId="14" fontId="0" fillId="0" borderId="0" xfId="0" applyNumberFormat="1"/>
    <xf numFmtId="0" fontId="4" fillId="0" borderId="0" xfId="0" applyFont="1"/>
    <xf numFmtId="10" fontId="0" fillId="0" borderId="0" xfId="0" applyNumberFormat="1"/>
    <xf numFmtId="0" fontId="5" fillId="4" borderId="0" xfId="2" applyFill="1"/>
  </cellXfs>
  <cellStyles count="3">
    <cellStyle name="Comma" xfId="1" builtinId="3"/>
    <cellStyle name="Hyperlink" xfId="2" builtinId="8"/>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39502711414805"/>
          <c:y val="4.0238239450837876E-2"/>
          <c:w val="0.73437469570035085"/>
          <c:h val="0.48949958178304637"/>
        </c:manualLayout>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133F-469E-ACC4-948B78ABA751}"/>
            </c:ext>
          </c:extLst>
        </c:ser>
        <c:dLbls>
          <c:showLegendKey val="0"/>
          <c:showVal val="0"/>
          <c:showCatName val="0"/>
          <c:showSerName val="0"/>
          <c:showPercent val="0"/>
          <c:showBubbleSize val="0"/>
        </c:dLbls>
        <c:smooth val="0"/>
        <c:axId val="307197840"/>
        <c:axId val="307198320"/>
      </c:lineChart>
      <c:catAx>
        <c:axId val="3071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98320"/>
        <c:crosses val="autoZero"/>
        <c:auto val="1"/>
        <c:lblAlgn val="ctr"/>
        <c:lblOffset val="100"/>
        <c:noMultiLvlLbl val="0"/>
      </c:catAx>
      <c:valAx>
        <c:axId val="30719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978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80539418600021"/>
          <c:y val="6.2428875222713936E-3"/>
          <c:w val="0.8269746281714786"/>
          <c:h val="0.84204505686789155"/>
        </c:manualLayout>
      </c:layout>
      <c:barChart>
        <c:barDir val="col"/>
        <c:grouping val="clustered"/>
        <c:varyColors val="0"/>
        <c:ser>
          <c:idx val="0"/>
          <c:order val="0"/>
          <c:tx>
            <c:strRef>
              <c:f>'pivot table'!$M$1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table'!$L$2:$L$8</c:f>
              <c:strCache>
                <c:ptCount val="6"/>
                <c:pt idx="0">
                  <c:v>Bapatla</c:v>
                </c:pt>
                <c:pt idx="1">
                  <c:v>Chirala</c:v>
                </c:pt>
                <c:pt idx="2">
                  <c:v>Guntur</c:v>
                </c:pt>
                <c:pt idx="3">
                  <c:v>Ongole</c:v>
                </c:pt>
                <c:pt idx="4">
                  <c:v>Tenali</c:v>
                </c:pt>
                <c:pt idx="5">
                  <c:v>Vijayawada</c:v>
                </c:pt>
              </c:strCache>
            </c:strRef>
          </c:cat>
          <c:val>
            <c:numRef>
              <c:f>'pivot table'!$M$2:$M$8</c:f>
              <c:numCache>
                <c:formatCode>General</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F760-4809-8B75-642FB6493E60}"/>
            </c:ext>
          </c:extLst>
        </c:ser>
        <c:dLbls>
          <c:dLblPos val="outEnd"/>
          <c:showLegendKey val="0"/>
          <c:showVal val="1"/>
          <c:showCatName val="0"/>
          <c:showSerName val="0"/>
          <c:showPercent val="0"/>
          <c:showBubbleSize val="0"/>
        </c:dLbls>
        <c:gapWidth val="219"/>
        <c:overlap val="-27"/>
        <c:axId val="307150800"/>
        <c:axId val="307155600"/>
      </c:barChart>
      <c:catAx>
        <c:axId val="30715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155600"/>
        <c:crosses val="autoZero"/>
        <c:auto val="1"/>
        <c:lblAlgn val="ctr"/>
        <c:lblOffset val="100"/>
        <c:noMultiLvlLbl val="0"/>
      </c:catAx>
      <c:valAx>
        <c:axId val="307155600"/>
        <c:scaling>
          <c:orientation val="minMax"/>
        </c:scaling>
        <c:delete val="1"/>
        <c:axPos val="l"/>
        <c:numFmt formatCode="General" sourceLinked="1"/>
        <c:majorTickMark val="none"/>
        <c:minorTickMark val="none"/>
        <c:tickLblPos val="nextTo"/>
        <c:crossAx val="30715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32209932902357"/>
          <c:y val="4.6298118985126863E-3"/>
          <c:w val="0.81334886264216977"/>
          <c:h val="0.89814814814814814"/>
        </c:manualLayout>
      </c:layout>
      <c:barChart>
        <c:barDir val="bar"/>
        <c:grouping val="clustered"/>
        <c:varyColors val="0"/>
        <c:ser>
          <c:idx val="0"/>
          <c:order val="0"/>
          <c:tx>
            <c:strRef>
              <c:f>'pivot table'!$M$14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table'!$L$15:$L$21</c:f>
              <c:strCache>
                <c:ptCount val="6"/>
                <c:pt idx="0">
                  <c:v>4K LED TV's</c:v>
                </c:pt>
                <c:pt idx="1">
                  <c:v>Furniture</c:v>
                </c:pt>
                <c:pt idx="2">
                  <c:v>Laptops</c:v>
                </c:pt>
                <c:pt idx="3">
                  <c:v>LED TV's</c:v>
                </c:pt>
                <c:pt idx="4">
                  <c:v>Mobiles</c:v>
                </c:pt>
                <c:pt idx="5">
                  <c:v>Speakers</c:v>
                </c:pt>
              </c:strCache>
            </c:strRef>
          </c:cat>
          <c:val>
            <c:numRef>
              <c:f>'pivot table'!$M$15:$M$21</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7F7C-41DF-B95C-2281C16B5D1C}"/>
            </c:ext>
          </c:extLst>
        </c:ser>
        <c:dLbls>
          <c:dLblPos val="outEnd"/>
          <c:showLegendKey val="0"/>
          <c:showVal val="1"/>
          <c:showCatName val="0"/>
          <c:showSerName val="0"/>
          <c:showPercent val="0"/>
          <c:showBubbleSize val="0"/>
        </c:dLbls>
        <c:gapWidth val="182"/>
        <c:axId val="889206496"/>
        <c:axId val="889206016"/>
      </c:barChart>
      <c:catAx>
        <c:axId val="88920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06016"/>
        <c:crosses val="autoZero"/>
        <c:auto val="1"/>
        <c:lblAlgn val="ctr"/>
        <c:lblOffset val="100"/>
        <c:noMultiLvlLbl val="0"/>
      </c:catAx>
      <c:valAx>
        <c:axId val="889206016"/>
        <c:scaling>
          <c:orientation val="minMax"/>
        </c:scaling>
        <c:delete val="1"/>
        <c:axPos val="b"/>
        <c:numFmt formatCode="0.00%" sourceLinked="1"/>
        <c:majorTickMark val="none"/>
        <c:minorTickMark val="none"/>
        <c:tickLblPos val="nextTo"/>
        <c:crossAx val="889206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table!PivotTable7</c:name>
    <c:fmtId val="25"/>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1.4825796886582653E-2"/>
              <c:y val="-0.17129629629629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924213328041185"/>
          <c:y val="0.10185185185185185"/>
          <c:w val="0.80075786671958815"/>
          <c:h val="0.89814814814814814"/>
        </c:manualLayout>
      </c:layout>
      <c:barChart>
        <c:barDir val="bar"/>
        <c:grouping val="clustered"/>
        <c:varyColors val="0"/>
        <c:ser>
          <c:idx val="0"/>
          <c:order val="0"/>
          <c:tx>
            <c:strRef>
              <c:f>'pivot table'!$Q$4</c:f>
              <c:strCache>
                <c:ptCount val="1"/>
                <c:pt idx="0">
                  <c:v>Total</c:v>
                </c:pt>
              </c:strCache>
            </c:strRef>
          </c:tx>
          <c:spPr>
            <a:solidFill>
              <a:schemeClr val="accent1"/>
            </a:solidFill>
            <a:ln>
              <a:noFill/>
            </a:ln>
            <a:effectLst/>
          </c:spPr>
          <c:invertIfNegative val="0"/>
          <c:dLbls>
            <c:dLbl>
              <c:idx val="3"/>
              <c:layout>
                <c:manualLayout>
                  <c:x val="-1.4825796886582653E-2"/>
                  <c:y val="-0.17129629629629631"/>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table'!$P$5:$P$11</c:f>
              <c:strCache>
                <c:ptCount val="6"/>
                <c:pt idx="0">
                  <c:v>Laptops</c:v>
                </c:pt>
                <c:pt idx="1">
                  <c:v>4K LED TV's</c:v>
                </c:pt>
                <c:pt idx="2">
                  <c:v>Speakers</c:v>
                </c:pt>
                <c:pt idx="3">
                  <c:v>Furniture</c:v>
                </c:pt>
                <c:pt idx="4">
                  <c:v>Mobiles</c:v>
                </c:pt>
                <c:pt idx="5">
                  <c:v>LED TV's</c:v>
                </c:pt>
              </c:strCache>
            </c:strRef>
          </c:cat>
          <c:val>
            <c:numRef>
              <c:f>'pivot table'!$Q$5:$Q$11</c:f>
              <c:numCache>
                <c:formatCode>General</c:formatCode>
                <c:ptCount val="6"/>
                <c:pt idx="0">
                  <c:v>1615</c:v>
                </c:pt>
                <c:pt idx="1">
                  <c:v>1503</c:v>
                </c:pt>
                <c:pt idx="2">
                  <c:v>1457</c:v>
                </c:pt>
                <c:pt idx="3">
                  <c:v>1233</c:v>
                </c:pt>
                <c:pt idx="4">
                  <c:v>1168</c:v>
                </c:pt>
                <c:pt idx="5">
                  <c:v>694</c:v>
                </c:pt>
              </c:numCache>
            </c:numRef>
          </c:val>
          <c:extLst>
            <c:ext xmlns:c16="http://schemas.microsoft.com/office/drawing/2014/chart" uri="{C3380CC4-5D6E-409C-BE32-E72D297353CC}">
              <c16:uniqueId val="{00000000-5899-4451-B824-EB0D2388C0CA}"/>
            </c:ext>
          </c:extLst>
        </c:ser>
        <c:dLbls>
          <c:showLegendKey val="0"/>
          <c:showVal val="0"/>
          <c:showCatName val="0"/>
          <c:showSerName val="0"/>
          <c:showPercent val="0"/>
          <c:showBubbleSize val="0"/>
        </c:dLbls>
        <c:gapWidth val="182"/>
        <c:axId val="889188736"/>
        <c:axId val="889179136"/>
      </c:barChart>
      <c:catAx>
        <c:axId val="88918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179136"/>
        <c:crosses val="autoZero"/>
        <c:auto val="1"/>
        <c:lblAlgn val="ctr"/>
        <c:lblOffset val="100"/>
        <c:noMultiLvlLbl val="0"/>
      </c:catAx>
      <c:valAx>
        <c:axId val="889179136"/>
        <c:scaling>
          <c:orientation val="minMax"/>
        </c:scaling>
        <c:delete val="1"/>
        <c:axPos val="b"/>
        <c:numFmt formatCode="General" sourceLinked="1"/>
        <c:majorTickMark val="none"/>
        <c:minorTickMark val="none"/>
        <c:tickLblPos val="nextTo"/>
        <c:crossAx val="88918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table!PivotTable6</c:name>
    <c:fmtId val="27"/>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5.8059587471352175E-2"/>
              <c:y val="0.143958868894601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1.120435235908253E-16"/>
              <c:y val="-0.21079691516709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9.4728800611153546E-2"/>
              <c:y val="-6.68380462724935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0533051015681864"/>
          <c:y val="0"/>
          <c:w val="0.79466948984318142"/>
          <c:h val="0.88688946015424164"/>
        </c:manualLayout>
      </c:layout>
      <c:barChart>
        <c:barDir val="bar"/>
        <c:grouping val="clustered"/>
        <c:varyColors val="0"/>
        <c:ser>
          <c:idx val="0"/>
          <c:order val="0"/>
          <c:tx>
            <c:strRef>
              <c:f>'pivot table'!$T$8</c:f>
              <c:strCache>
                <c:ptCount val="1"/>
                <c:pt idx="0">
                  <c:v>Total</c:v>
                </c:pt>
              </c:strCache>
            </c:strRef>
          </c:tx>
          <c:spPr>
            <a:solidFill>
              <a:schemeClr val="accent1"/>
            </a:solidFill>
            <a:ln>
              <a:noFill/>
            </a:ln>
            <a:effectLst/>
          </c:spPr>
          <c:invertIfNegative val="0"/>
          <c:dLbls>
            <c:dLbl>
              <c:idx val="3"/>
              <c:layout>
                <c:manualLayout>
                  <c:x val="9.4728800611153546E-2"/>
                  <c:y val="-6.6838046272493568E-2"/>
                </c:manualLayout>
              </c:layout>
              <c:showLegendKey val="0"/>
              <c:showVal val="1"/>
              <c:showCatName val="1"/>
              <c:showSerName val="0"/>
              <c:showPercent val="0"/>
              <c:showBubbleSize val="0"/>
              <c:extLst>
                <c:ext xmlns:c15="http://schemas.microsoft.com/office/drawing/2012/chart" uri="{CE6537A1-D6FC-4f65-9D91-7224C49458BB}"/>
              </c:extLst>
            </c:dLbl>
            <c:dLbl>
              <c:idx val="4"/>
              <c:layout>
                <c:manualLayout>
                  <c:x val="5.8059587471352175E-2"/>
                  <c:y val="0.14395886889460155"/>
                </c:manualLayout>
              </c:layout>
              <c:showLegendKey val="0"/>
              <c:showVal val="1"/>
              <c:showCatName val="1"/>
              <c:showSerName val="0"/>
              <c:showPercent val="0"/>
              <c:showBubbleSize val="0"/>
              <c:extLst>
                <c:ext xmlns:c15="http://schemas.microsoft.com/office/drawing/2012/chart" uri="{CE6537A1-D6FC-4f65-9D91-7224C49458BB}"/>
              </c:extLst>
            </c:dLbl>
            <c:dLbl>
              <c:idx val="5"/>
              <c:layout>
                <c:manualLayout>
                  <c:x val="-1.120435235908253E-16"/>
                  <c:y val="-0.2107969151670952"/>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table'!$S$9:$S$15</c:f>
              <c:strCache>
                <c:ptCount val="6"/>
                <c:pt idx="0">
                  <c:v>LED TV's</c:v>
                </c:pt>
                <c:pt idx="1">
                  <c:v>Mobiles</c:v>
                </c:pt>
                <c:pt idx="2">
                  <c:v>Furniture</c:v>
                </c:pt>
                <c:pt idx="3">
                  <c:v>Speakers</c:v>
                </c:pt>
                <c:pt idx="4">
                  <c:v>4K LED TV's</c:v>
                </c:pt>
                <c:pt idx="5">
                  <c:v>Laptops</c:v>
                </c:pt>
              </c:strCache>
            </c:strRef>
          </c:cat>
          <c:val>
            <c:numRef>
              <c:f>'pivot table'!$T$9:$T$15</c:f>
              <c:numCache>
                <c:formatCode>General</c:formatCode>
                <c:ptCount val="6"/>
                <c:pt idx="0">
                  <c:v>694</c:v>
                </c:pt>
                <c:pt idx="1">
                  <c:v>1168</c:v>
                </c:pt>
                <c:pt idx="2">
                  <c:v>1233</c:v>
                </c:pt>
                <c:pt idx="3">
                  <c:v>1457</c:v>
                </c:pt>
                <c:pt idx="4">
                  <c:v>1503</c:v>
                </c:pt>
                <c:pt idx="5">
                  <c:v>1615</c:v>
                </c:pt>
              </c:numCache>
            </c:numRef>
          </c:val>
          <c:extLst>
            <c:ext xmlns:c16="http://schemas.microsoft.com/office/drawing/2014/chart" uri="{C3380CC4-5D6E-409C-BE32-E72D297353CC}">
              <c16:uniqueId val="{00000000-CFDC-488F-B0D8-FBE5E65A148E}"/>
            </c:ext>
          </c:extLst>
        </c:ser>
        <c:dLbls>
          <c:dLblPos val="outEnd"/>
          <c:showLegendKey val="0"/>
          <c:showVal val="1"/>
          <c:showCatName val="0"/>
          <c:showSerName val="0"/>
          <c:showPercent val="0"/>
          <c:showBubbleSize val="0"/>
        </c:dLbls>
        <c:gapWidth val="182"/>
        <c:axId val="889192576"/>
        <c:axId val="889209376"/>
      </c:barChart>
      <c:catAx>
        <c:axId val="88919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09376"/>
        <c:crosses val="autoZero"/>
        <c:auto val="1"/>
        <c:lblAlgn val="ctr"/>
        <c:lblOffset val="100"/>
        <c:noMultiLvlLbl val="0"/>
      </c:catAx>
      <c:valAx>
        <c:axId val="889209376"/>
        <c:scaling>
          <c:orientation val="minMax"/>
        </c:scaling>
        <c:delete val="1"/>
        <c:axPos val="b"/>
        <c:numFmt formatCode="General" sourceLinked="1"/>
        <c:majorTickMark val="none"/>
        <c:minorTickMark val="none"/>
        <c:tickLblPos val="nextTo"/>
        <c:crossAx val="88919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3888888888888888"/>
          <c:h val="0.84204505686789155"/>
        </c:manualLayout>
      </c:layout>
      <c:barChart>
        <c:barDir val="col"/>
        <c:grouping val="clustered"/>
        <c:varyColors val="0"/>
        <c:ser>
          <c:idx val="0"/>
          <c:order val="0"/>
          <c:tx>
            <c:strRef>
              <c:f>'pivot table'!$AH$6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table'!$AG$7:$AG$13</c:f>
              <c:strCache>
                <c:ptCount val="6"/>
                <c:pt idx="0">
                  <c:v>4K LED TV's</c:v>
                </c:pt>
                <c:pt idx="1">
                  <c:v>Furniture</c:v>
                </c:pt>
                <c:pt idx="2">
                  <c:v>Laptops</c:v>
                </c:pt>
                <c:pt idx="3">
                  <c:v>LED TV's</c:v>
                </c:pt>
                <c:pt idx="4">
                  <c:v>Mobiles</c:v>
                </c:pt>
                <c:pt idx="5">
                  <c:v>Speakers</c:v>
                </c:pt>
              </c:strCache>
            </c:strRef>
          </c:cat>
          <c:val>
            <c:numRef>
              <c:f>'pivot table'!$AH$7:$AH$13</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95E6-493E-9A50-F91178921867}"/>
            </c:ext>
          </c:extLst>
        </c:ser>
        <c:dLbls>
          <c:dLblPos val="outEnd"/>
          <c:showLegendKey val="0"/>
          <c:showVal val="1"/>
          <c:showCatName val="0"/>
          <c:showSerName val="0"/>
          <c:showPercent val="0"/>
          <c:showBubbleSize val="0"/>
        </c:dLbls>
        <c:gapWidth val="219"/>
        <c:overlap val="-27"/>
        <c:axId val="2046445024"/>
        <c:axId val="2046436864"/>
      </c:barChart>
      <c:catAx>
        <c:axId val="20464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36864"/>
        <c:crosses val="autoZero"/>
        <c:auto val="1"/>
        <c:lblAlgn val="ctr"/>
        <c:lblOffset val="100"/>
        <c:noMultiLvlLbl val="0"/>
      </c:catAx>
      <c:valAx>
        <c:axId val="2046436864"/>
        <c:scaling>
          <c:orientation val="minMax"/>
        </c:scaling>
        <c:delete val="1"/>
        <c:axPos val="l"/>
        <c:numFmt formatCode="General" sourceLinked="1"/>
        <c:majorTickMark val="none"/>
        <c:minorTickMark val="none"/>
        <c:tickLblPos val="nextTo"/>
        <c:crossAx val="20464450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table!PivotTable9</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table'!$BB$10:$BB$13</c:f>
              <c:strCache>
                <c:ptCount val="3"/>
                <c:pt idx="0">
                  <c:v>Kiran</c:v>
                </c:pt>
                <c:pt idx="1">
                  <c:v>Gopi</c:v>
                </c:pt>
                <c:pt idx="2">
                  <c:v>Ganesh</c:v>
                </c:pt>
              </c:strCache>
            </c:strRef>
          </c:cat>
          <c:val>
            <c:numRef>
              <c:f>'pivot table'!$BC$10:$BC$13</c:f>
              <c:numCache>
                <c:formatCode>General</c:formatCode>
                <c:ptCount val="3"/>
                <c:pt idx="0">
                  <c:v>1407</c:v>
                </c:pt>
                <c:pt idx="1">
                  <c:v>1534</c:v>
                </c:pt>
                <c:pt idx="2">
                  <c:v>1687</c:v>
                </c:pt>
              </c:numCache>
            </c:numRef>
          </c:val>
          <c:extLst>
            <c:ext xmlns:c16="http://schemas.microsoft.com/office/drawing/2014/chart" uri="{C3380CC4-5D6E-409C-BE32-E72D297353CC}">
              <c16:uniqueId val="{00000000-893D-4B4D-A014-44C8C2F2A5AF}"/>
            </c:ext>
          </c:extLst>
        </c:ser>
        <c:dLbls>
          <c:dLblPos val="outEnd"/>
          <c:showLegendKey val="0"/>
          <c:showVal val="1"/>
          <c:showCatName val="0"/>
          <c:showSerName val="0"/>
          <c:showPercent val="0"/>
          <c:showBubbleSize val="0"/>
        </c:dLbls>
        <c:gapWidth val="182"/>
        <c:axId val="1150500160"/>
        <c:axId val="1150500640"/>
      </c:barChart>
      <c:catAx>
        <c:axId val="1150500160"/>
        <c:scaling>
          <c:orientation val="minMax"/>
        </c:scaling>
        <c:delete val="1"/>
        <c:axPos val="l"/>
        <c:numFmt formatCode="General" sourceLinked="1"/>
        <c:majorTickMark val="none"/>
        <c:minorTickMark val="none"/>
        <c:tickLblPos val="nextTo"/>
        <c:crossAx val="1150500640"/>
        <c:crosses val="autoZero"/>
        <c:auto val="1"/>
        <c:lblAlgn val="ctr"/>
        <c:lblOffset val="100"/>
        <c:noMultiLvlLbl val="0"/>
      </c:catAx>
      <c:valAx>
        <c:axId val="1150500640"/>
        <c:scaling>
          <c:orientation val="minMax"/>
        </c:scaling>
        <c:delete val="1"/>
        <c:axPos val="b"/>
        <c:numFmt formatCode="General" sourceLinked="1"/>
        <c:majorTickMark val="none"/>
        <c:minorTickMark val="none"/>
        <c:tickLblPos val="nextTo"/>
        <c:crossAx val="115050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table'!$BJ$11:$BJ$14</c:f>
              <c:strCache>
                <c:ptCount val="3"/>
                <c:pt idx="0">
                  <c:v>Mahesh</c:v>
                </c:pt>
                <c:pt idx="1">
                  <c:v>Ramesh</c:v>
                </c:pt>
                <c:pt idx="2">
                  <c:v>Prathap</c:v>
                </c:pt>
              </c:strCache>
            </c:strRef>
          </c:cat>
          <c:val>
            <c:numRef>
              <c:f>'pivot table'!$BK$11:$BK$14</c:f>
              <c:numCache>
                <c:formatCode>General</c:formatCode>
                <c:ptCount val="3"/>
                <c:pt idx="0">
                  <c:v>810</c:v>
                </c:pt>
                <c:pt idx="1">
                  <c:v>947</c:v>
                </c:pt>
                <c:pt idx="2">
                  <c:v>1285</c:v>
                </c:pt>
              </c:numCache>
            </c:numRef>
          </c:val>
          <c:extLst>
            <c:ext xmlns:c16="http://schemas.microsoft.com/office/drawing/2014/chart" uri="{C3380CC4-5D6E-409C-BE32-E72D297353CC}">
              <c16:uniqueId val="{00000000-91F9-4C5A-9D8A-727B8C8763DD}"/>
            </c:ext>
          </c:extLst>
        </c:ser>
        <c:dLbls>
          <c:dLblPos val="outEnd"/>
          <c:showLegendKey val="0"/>
          <c:showVal val="1"/>
          <c:showCatName val="0"/>
          <c:showSerName val="0"/>
          <c:showPercent val="0"/>
          <c:showBubbleSize val="0"/>
        </c:dLbls>
        <c:gapWidth val="182"/>
        <c:axId val="1150472320"/>
        <c:axId val="1150479040"/>
      </c:barChart>
      <c:catAx>
        <c:axId val="1150472320"/>
        <c:scaling>
          <c:orientation val="minMax"/>
        </c:scaling>
        <c:delete val="1"/>
        <c:axPos val="l"/>
        <c:numFmt formatCode="General" sourceLinked="1"/>
        <c:majorTickMark val="none"/>
        <c:minorTickMark val="none"/>
        <c:tickLblPos val="nextTo"/>
        <c:crossAx val="1150479040"/>
        <c:crosses val="autoZero"/>
        <c:auto val="1"/>
        <c:lblAlgn val="ctr"/>
        <c:lblOffset val="100"/>
        <c:noMultiLvlLbl val="0"/>
      </c:catAx>
      <c:valAx>
        <c:axId val="1150479040"/>
        <c:scaling>
          <c:orientation val="minMax"/>
        </c:scaling>
        <c:delete val="1"/>
        <c:axPos val="b"/>
        <c:numFmt formatCode="General" sourceLinked="1"/>
        <c:majorTickMark val="none"/>
        <c:minorTickMark val="none"/>
        <c:tickLblPos val="nextTo"/>
        <c:crossAx val="115047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table!PivotTable12</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table'!$BO$4:$BO$10</c:f>
              <c:strCache>
                <c:ptCount val="6"/>
                <c:pt idx="0">
                  <c:v>Ganesh</c:v>
                </c:pt>
                <c:pt idx="1">
                  <c:v>Gopi</c:v>
                </c:pt>
                <c:pt idx="2">
                  <c:v>Kiran</c:v>
                </c:pt>
                <c:pt idx="3">
                  <c:v>Mahesh</c:v>
                </c:pt>
                <c:pt idx="4">
                  <c:v>Prathap</c:v>
                </c:pt>
                <c:pt idx="5">
                  <c:v>Ramesh</c:v>
                </c:pt>
              </c:strCache>
            </c:strRef>
          </c:cat>
          <c:val>
            <c:numRef>
              <c:f>'pivot table'!$BP$4:$BP$10</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972D-45F9-B338-4BF001E2C956}"/>
            </c:ext>
          </c:extLst>
        </c:ser>
        <c:dLbls>
          <c:dLblPos val="outEnd"/>
          <c:showLegendKey val="0"/>
          <c:showVal val="1"/>
          <c:showCatName val="0"/>
          <c:showSerName val="0"/>
          <c:showPercent val="0"/>
          <c:showBubbleSize val="0"/>
        </c:dLbls>
        <c:gapWidth val="219"/>
        <c:overlap val="-27"/>
        <c:axId val="1149300560"/>
        <c:axId val="1149301520"/>
      </c:barChart>
      <c:catAx>
        <c:axId val="11493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01520"/>
        <c:crosses val="autoZero"/>
        <c:auto val="1"/>
        <c:lblAlgn val="ctr"/>
        <c:lblOffset val="100"/>
        <c:noMultiLvlLbl val="0"/>
      </c:catAx>
      <c:valAx>
        <c:axId val="1149301520"/>
        <c:scaling>
          <c:orientation val="minMax"/>
        </c:scaling>
        <c:delete val="1"/>
        <c:axPos val="l"/>
        <c:numFmt formatCode="General" sourceLinked="1"/>
        <c:majorTickMark val="none"/>
        <c:minorTickMark val="none"/>
        <c:tickLblPos val="nextTo"/>
        <c:crossAx val="11493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44450" dist="21590" dir="5400000" rotWithShape="0">
              <a:srgbClr val="000000">
                <a:alpha val="40000"/>
              </a:srgbClr>
            </a:outerShdw>
          </a:effectLst>
        </c:spPr>
        <c:marker>
          <c:symbol val="circle"/>
          <c:size val="6"/>
          <c:spPr>
            <a:gradFill rotWithShape="1">
              <a:gsLst>
                <a:gs pos="0">
                  <a:schemeClr val="accent6">
                    <a:shade val="85000"/>
                  </a:schemeClr>
                </a:gs>
                <a:gs pos="100000">
                  <a:schemeClr val="accent6">
                    <a:tint val="90000"/>
                    <a:alpha val="100000"/>
                    <a:satMod val="180000"/>
                  </a:schemeClr>
                </a:gs>
              </a:gsLst>
              <a:path path="circle">
                <a:fillToRect l="100000" t="100000" r="100000" b="100000"/>
              </a:path>
            </a:gradFill>
            <a:ln w="9525">
              <a:solidFill>
                <a:schemeClr val="accent6"/>
              </a:solidFill>
              <a:round/>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77128154256307"/>
          <c:y val="0.12300819540414593"/>
          <c:w val="0.75282089738782654"/>
          <c:h val="0.53019810879804408"/>
        </c:manualLayout>
      </c:layout>
      <c:lineChart>
        <c:grouping val="standard"/>
        <c:varyColors val="0"/>
        <c:ser>
          <c:idx val="0"/>
          <c:order val="0"/>
          <c:tx>
            <c:strRef>
              <c:f>'pivot table'!$B$1</c:f>
              <c:strCache>
                <c:ptCount val="1"/>
                <c:pt idx="0">
                  <c:v>Total</c:v>
                </c:pt>
              </c:strCache>
            </c:strRef>
          </c:tx>
          <c:spPr>
            <a:ln w="34925" cap="rnd">
              <a:solidFill>
                <a:schemeClr val="accent6"/>
              </a:solidFill>
              <a:round/>
            </a:ln>
            <a:effectLst>
              <a:outerShdw blurRad="44450" dist="21590" dir="5400000" rotWithShape="0">
                <a:srgbClr val="000000">
                  <a:alpha val="40000"/>
                </a:srgbClr>
              </a:outerShdw>
            </a:effectLst>
          </c:spPr>
          <c:marker>
            <c:symbol val="circle"/>
            <c:size val="6"/>
            <c:spPr>
              <a:gradFill rotWithShape="1">
                <a:gsLst>
                  <a:gs pos="0">
                    <a:schemeClr val="accent6">
                      <a:shade val="85000"/>
                    </a:schemeClr>
                  </a:gs>
                  <a:gs pos="100000">
                    <a:schemeClr val="accent6">
                      <a:tint val="90000"/>
                      <a:alpha val="100000"/>
                      <a:satMod val="180000"/>
                    </a:schemeClr>
                  </a:gs>
                </a:gsLst>
                <a:path path="circle">
                  <a:fillToRect l="100000" t="100000" r="100000" b="100000"/>
                </a:path>
              </a:gradFill>
              <a:ln w="9525">
                <a:solidFill>
                  <a:schemeClr val="accent6"/>
                </a:solidFill>
                <a:round/>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marker>
          <c:cat>
            <c:strRef>
              <c:f>'pivot 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table'!$B$2:$B$14</c:f>
              <c:numCache>
                <c:formatCode>General</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CDD9-4DF7-8667-EA354781698C}"/>
            </c:ext>
          </c:extLst>
        </c:ser>
        <c:dLbls>
          <c:showLegendKey val="0"/>
          <c:showVal val="0"/>
          <c:showCatName val="0"/>
          <c:showSerName val="0"/>
          <c:showPercent val="0"/>
          <c:showBubbleSize val="0"/>
        </c:dLbls>
        <c:marker val="1"/>
        <c:smooth val="0"/>
        <c:axId val="307197840"/>
        <c:axId val="307198320"/>
      </c:lineChart>
      <c:catAx>
        <c:axId val="307197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7198320"/>
        <c:crosses val="autoZero"/>
        <c:auto val="1"/>
        <c:lblAlgn val="ctr"/>
        <c:lblOffset val="100"/>
        <c:noMultiLvlLbl val="0"/>
      </c:catAx>
      <c:valAx>
        <c:axId val="307198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719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table!PivotTable2</c:name>
    <c:fmtId val="1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marker>
          <c:symbol val="circle"/>
          <c:size val="6"/>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w="9525">
              <a:solidFill>
                <a:schemeClr val="accent2"/>
              </a:solidFill>
              <a:round/>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dLbl>
          <c:idx val="0"/>
          <c:layout>
            <c:manualLayout>
              <c:x val="0"/>
              <c:y val="-0.1984126984126984"/>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dLbl>
          <c:idx val="0"/>
          <c:layout>
            <c:manualLayout>
              <c:x val="6.3716814159292007E-2"/>
              <c:y val="-0.14682539682539686"/>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dLbl>
          <c:idx val="0"/>
          <c:layout>
            <c:manualLayout>
              <c:x val="-4.7569019150383925E-2"/>
              <c:y val="-0.46497101531373325"/>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9334864391951007"/>
                  <c:h val="7.187069242244E-2"/>
                </c:manualLayout>
              </c15:layout>
            </c:ext>
          </c:extLst>
        </c:dLbl>
      </c:pivotFmt>
      <c:pivotFmt>
        <c:idx val="6"/>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dLbl>
          <c:idx val="0"/>
          <c:layout>
            <c:manualLayout>
              <c:x val="4.247787610619469E-2"/>
              <c:y val="-0.12698412698412706"/>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dLbl>
          <c:idx val="0"/>
          <c:layout>
            <c:manualLayout>
              <c:x val="3.0864197530864196E-3"/>
              <c:y val="-9.112709832134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dLbl>
          <c:idx val="0"/>
          <c:layout>
            <c:manualLayout>
              <c:x val="0.17901234567901222"/>
              <c:y val="4.79616306954435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88260558339307E-3"/>
          <c:y val="3.2407480314960629E-2"/>
          <c:w val="0.8269746281714786"/>
          <c:h val="0.84204505686789155"/>
        </c:manualLayout>
      </c:layout>
      <c:barChart>
        <c:barDir val="col"/>
        <c:grouping val="clustered"/>
        <c:varyColors val="0"/>
        <c:ser>
          <c:idx val="0"/>
          <c:order val="0"/>
          <c:tx>
            <c:strRef>
              <c:f>'pivot table'!$M$1</c:f>
              <c:strCache>
                <c:ptCount val="1"/>
                <c:pt idx="0">
                  <c:v>Total</c:v>
                </c:pt>
              </c:strCache>
            </c:strRef>
          </c:tx>
          <c:spPr>
            <a:gradFill rotWithShape="1">
              <a:gsLst>
                <a:gs pos="0">
                  <a:schemeClr val="accent2">
                    <a:shade val="85000"/>
                  </a:schemeClr>
                </a:gs>
                <a:gs pos="100000">
                  <a:schemeClr val="accent2">
                    <a:tint val="90000"/>
                    <a:alpha val="100000"/>
                    <a:satMod val="180000"/>
                  </a:schemeClr>
                </a:gs>
              </a:gsLst>
              <a:path path="circle">
                <a:fillToRect l="100000" t="100000" r="100000" b="100000"/>
              </a:path>
            </a:gradFill>
            <a:ln>
              <a:noFill/>
            </a:ln>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c:spPr>
          <c:invertIfNegative val="0"/>
          <c:dLbls>
            <c:dLbl>
              <c:idx val="0"/>
              <c:layout>
                <c:manualLayout>
                  <c:x val="0"/>
                  <c:y val="-0.1984126984126984"/>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A9CE-49B2-80ED-60D395811A8D}"/>
                </c:ext>
              </c:extLst>
            </c:dLbl>
            <c:dLbl>
              <c:idx val="1"/>
              <c:layout>
                <c:manualLayout>
                  <c:x val="3.0864197530864196E-3"/>
                  <c:y val="-9.1127098321342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CE-49B2-80ED-60D395811A8D}"/>
                </c:ext>
              </c:extLst>
            </c:dLbl>
            <c:dLbl>
              <c:idx val="2"/>
              <c:layout>
                <c:manualLayout>
                  <c:x val="6.3716814159292007E-2"/>
                  <c:y val="-0.14682539682539686"/>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2-A9CE-49B2-80ED-60D395811A8D}"/>
                </c:ext>
              </c:extLst>
            </c:dLbl>
            <c:dLbl>
              <c:idx val="3"/>
              <c:layout>
                <c:manualLayout>
                  <c:x val="-4.7569019150383925E-2"/>
                  <c:y val="-0.46497101531373325"/>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19334864391951007"/>
                      <c:h val="7.187069242244E-2"/>
                    </c:manualLayout>
                  </c15:layout>
                </c:ext>
                <c:ext xmlns:c16="http://schemas.microsoft.com/office/drawing/2014/chart" uri="{C3380CC4-5D6E-409C-BE32-E72D297353CC}">
                  <c16:uniqueId val="{00000003-A9CE-49B2-80ED-60D395811A8D}"/>
                </c:ext>
              </c:extLst>
            </c:dLbl>
            <c:dLbl>
              <c:idx val="4"/>
              <c:layout>
                <c:manualLayout>
                  <c:x val="0.17901234567901222"/>
                  <c:y val="4.796163069544356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CE-49B2-80ED-60D395811A8D}"/>
                </c:ext>
              </c:extLst>
            </c:dLbl>
            <c:dLbl>
              <c:idx val="5"/>
              <c:layout>
                <c:manualLayout>
                  <c:x val="4.247787610619469E-2"/>
                  <c:y val="-0.12698412698412706"/>
                </c:manualLayout>
              </c:layout>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A9CE-49B2-80ED-60D395811A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table'!$L$2:$L$8</c:f>
              <c:strCache>
                <c:ptCount val="6"/>
                <c:pt idx="0">
                  <c:v>Bapatla</c:v>
                </c:pt>
                <c:pt idx="1">
                  <c:v>Chirala</c:v>
                </c:pt>
                <c:pt idx="2">
                  <c:v>Guntur</c:v>
                </c:pt>
                <c:pt idx="3">
                  <c:v>Ongole</c:v>
                </c:pt>
                <c:pt idx="4">
                  <c:v>Tenali</c:v>
                </c:pt>
                <c:pt idx="5">
                  <c:v>Vijayawada</c:v>
                </c:pt>
              </c:strCache>
            </c:strRef>
          </c:cat>
          <c:val>
            <c:numRef>
              <c:f>'pivot table'!$M$2:$M$8</c:f>
              <c:numCache>
                <c:formatCode>General</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A9CE-49B2-80ED-60D395811A8D}"/>
            </c:ext>
          </c:extLst>
        </c:ser>
        <c:dLbls>
          <c:dLblPos val="outEnd"/>
          <c:showLegendKey val="0"/>
          <c:showVal val="1"/>
          <c:showCatName val="0"/>
          <c:showSerName val="0"/>
          <c:showPercent val="0"/>
          <c:showBubbleSize val="0"/>
        </c:dLbls>
        <c:gapWidth val="100"/>
        <c:overlap val="-24"/>
        <c:axId val="307150800"/>
        <c:axId val="307155600"/>
      </c:barChart>
      <c:catAx>
        <c:axId val="307150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7155600"/>
        <c:crosses val="autoZero"/>
        <c:auto val="1"/>
        <c:lblAlgn val="ctr"/>
        <c:lblOffset val="100"/>
        <c:noMultiLvlLbl val="0"/>
      </c:catAx>
      <c:valAx>
        <c:axId val="30715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30715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table!PivotTable3</c:name>
    <c:fmtId val="2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4948425783592"/>
          <c:y val="0.12305470094383898"/>
          <c:w val="0.78566376571349639"/>
          <c:h val="0.8764044943820225"/>
        </c:manualLayout>
      </c:layout>
      <c:barChart>
        <c:barDir val="bar"/>
        <c:grouping val="clustered"/>
        <c:varyColors val="0"/>
        <c:ser>
          <c:idx val="0"/>
          <c:order val="0"/>
          <c:tx>
            <c:strRef>
              <c:f>'pivot table'!$M$14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table'!$L$15:$L$21</c:f>
              <c:strCache>
                <c:ptCount val="6"/>
                <c:pt idx="0">
                  <c:v>4K LED TV's</c:v>
                </c:pt>
                <c:pt idx="1">
                  <c:v>Furniture</c:v>
                </c:pt>
                <c:pt idx="2">
                  <c:v>Laptops</c:v>
                </c:pt>
                <c:pt idx="3">
                  <c:v>LED TV's</c:v>
                </c:pt>
                <c:pt idx="4">
                  <c:v>Mobiles</c:v>
                </c:pt>
                <c:pt idx="5">
                  <c:v>Speakers</c:v>
                </c:pt>
              </c:strCache>
            </c:strRef>
          </c:cat>
          <c:val>
            <c:numRef>
              <c:f>'pivot table'!$M$15:$M$21</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78D9-4B6E-8938-9B48426BF9DF}"/>
            </c:ext>
          </c:extLst>
        </c:ser>
        <c:dLbls>
          <c:dLblPos val="outEnd"/>
          <c:showLegendKey val="0"/>
          <c:showVal val="1"/>
          <c:showCatName val="0"/>
          <c:showSerName val="0"/>
          <c:showPercent val="0"/>
          <c:showBubbleSize val="0"/>
        </c:dLbls>
        <c:gapWidth val="182"/>
        <c:axId val="889206496"/>
        <c:axId val="889206016"/>
      </c:barChart>
      <c:catAx>
        <c:axId val="88920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06016"/>
        <c:crosses val="autoZero"/>
        <c:auto val="1"/>
        <c:lblAlgn val="ctr"/>
        <c:lblOffset val="100"/>
        <c:noMultiLvlLbl val="0"/>
      </c:catAx>
      <c:valAx>
        <c:axId val="889206016"/>
        <c:scaling>
          <c:orientation val="minMax"/>
        </c:scaling>
        <c:delete val="1"/>
        <c:axPos val="b"/>
        <c:numFmt formatCode="0.00%" sourceLinked="1"/>
        <c:majorTickMark val="none"/>
        <c:minorTickMark val="none"/>
        <c:tickLblPos val="nextTo"/>
        <c:crossAx val="889206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table!PivotTable6</c:name>
    <c:fmtId val="31"/>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5.8059587471352175E-2"/>
              <c:y val="0.143958868894601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dLbl>
          <c:idx val="0"/>
          <c:layout>
            <c:manualLayout>
              <c:x val="-1.120435235908253E-16"/>
              <c:y val="-0.21079691516709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9.4728800611153546E-2"/>
              <c:y val="-6.68380462724935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5.8059587471352175E-2"/>
              <c:y val="0.1439588688946015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1.120435235908253E-16"/>
              <c:y val="-0.21079691516709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9.4728800611153546E-2"/>
              <c:y val="-6.68380462724935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0.10547930462667061"/>
              <c:y val="-4.12267910955575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c:spPr>
        <c:dLbl>
          <c:idx val="0"/>
          <c:layout>
            <c:manualLayout>
              <c:x val="-1.120435235908253E-16"/>
              <c:y val="-0.21079691516709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c:spPr>
        <c:dLbl>
          <c:idx val="0"/>
          <c:layout>
            <c:manualLayout>
              <c:x val="0.11983329489671521"/>
              <c:y val="1.95819966948575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c:spPr>
        <c:dLbl>
          <c:idx val="0"/>
          <c:layout>
            <c:manualLayout>
              <c:x val="7.2524407252440623E-2"/>
              <c:y val="9.87654320987654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c:spPr>
        <c:dLbl>
          <c:idx val="0"/>
          <c:layout>
            <c:manualLayout>
              <c:x val="-2.7894002789400278E-3"/>
              <c:y val="8.64197530864197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017816532004619"/>
          <c:y val="0.1111111111111111"/>
          <c:w val="0.79466948984318142"/>
          <c:h val="0.88688946015424164"/>
        </c:manualLayout>
      </c:layout>
      <c:barChart>
        <c:barDir val="bar"/>
        <c:grouping val="clustered"/>
        <c:varyColors val="0"/>
        <c:ser>
          <c:idx val="0"/>
          <c:order val="0"/>
          <c:tx>
            <c:strRef>
              <c:f>'pivot table'!$T$8</c:f>
              <c:strCache>
                <c:ptCount val="1"/>
                <c:pt idx="0">
                  <c:v>Total</c:v>
                </c:pt>
              </c:strCache>
            </c:strRef>
          </c:tx>
          <c:spPr>
            <a:solidFill>
              <a:schemeClr val="accent1"/>
            </a:solidFill>
            <a:ln>
              <a:noFill/>
            </a:ln>
            <a:effectLst/>
          </c:spPr>
          <c:invertIfNegative val="0"/>
          <c:dLbls>
            <c:dLbl>
              <c:idx val="1"/>
              <c:layout>
                <c:manualLayout>
                  <c:x val="-2.7894002789400278E-3"/>
                  <c:y val="8.6419753086419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F4-4EF5-89EA-164F27A88B50}"/>
                </c:ext>
              </c:extLst>
            </c:dLbl>
            <c:dLbl>
              <c:idx val="2"/>
              <c:layout>
                <c:manualLayout>
                  <c:x val="7.2524407252440623E-2"/>
                  <c:y val="9.8765432098765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F4-4EF5-89EA-164F27A88B50}"/>
                </c:ext>
              </c:extLst>
            </c:dLbl>
            <c:dLbl>
              <c:idx val="3"/>
              <c:layout>
                <c:manualLayout>
                  <c:x val="0.11983329489671521"/>
                  <c:y val="1.9581996694857589E-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10547930462667061"/>
                  <c:y val="-4.1226791095557554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1.120435235908253E-16"/>
                  <c:y val="-0.2107969151670952"/>
                </c:manualLayout>
              </c:layout>
              <c:showLegendKey val="0"/>
              <c:showVal val="1"/>
              <c:showCatName val="0"/>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table'!$S$9:$S$15</c:f>
              <c:strCache>
                <c:ptCount val="6"/>
                <c:pt idx="0">
                  <c:v>LED TV's</c:v>
                </c:pt>
                <c:pt idx="1">
                  <c:v>Mobiles</c:v>
                </c:pt>
                <c:pt idx="2">
                  <c:v>Furniture</c:v>
                </c:pt>
                <c:pt idx="3">
                  <c:v>Speakers</c:v>
                </c:pt>
                <c:pt idx="4">
                  <c:v>4K LED TV's</c:v>
                </c:pt>
                <c:pt idx="5">
                  <c:v>Laptops</c:v>
                </c:pt>
              </c:strCache>
            </c:strRef>
          </c:cat>
          <c:val>
            <c:numRef>
              <c:f>'pivot table'!$T$9:$T$15</c:f>
              <c:numCache>
                <c:formatCode>General</c:formatCode>
                <c:ptCount val="6"/>
                <c:pt idx="0">
                  <c:v>694</c:v>
                </c:pt>
                <c:pt idx="1">
                  <c:v>1168</c:v>
                </c:pt>
                <c:pt idx="2">
                  <c:v>1233</c:v>
                </c:pt>
                <c:pt idx="3">
                  <c:v>1457</c:v>
                </c:pt>
                <c:pt idx="4">
                  <c:v>1503</c:v>
                </c:pt>
                <c:pt idx="5">
                  <c:v>1615</c:v>
                </c:pt>
              </c:numCache>
            </c:numRef>
          </c:val>
          <c:extLst>
            <c:ext xmlns:c16="http://schemas.microsoft.com/office/drawing/2014/chart" uri="{C3380CC4-5D6E-409C-BE32-E72D297353CC}">
              <c16:uniqueId val="{00000003-4EF4-4EF5-89EA-164F27A88B50}"/>
            </c:ext>
          </c:extLst>
        </c:ser>
        <c:dLbls>
          <c:dLblPos val="outEnd"/>
          <c:showLegendKey val="0"/>
          <c:showVal val="1"/>
          <c:showCatName val="0"/>
          <c:showSerName val="0"/>
          <c:showPercent val="0"/>
          <c:showBubbleSize val="0"/>
        </c:dLbls>
        <c:gapWidth val="182"/>
        <c:axId val="889192576"/>
        <c:axId val="889209376"/>
      </c:barChart>
      <c:catAx>
        <c:axId val="88919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09376"/>
        <c:crosses val="autoZero"/>
        <c:auto val="1"/>
        <c:lblAlgn val="ctr"/>
        <c:lblOffset val="100"/>
        <c:noMultiLvlLbl val="0"/>
      </c:catAx>
      <c:valAx>
        <c:axId val="889209376"/>
        <c:scaling>
          <c:orientation val="minMax"/>
        </c:scaling>
        <c:delete val="1"/>
        <c:axPos val="b"/>
        <c:numFmt formatCode="General" sourceLinked="1"/>
        <c:majorTickMark val="none"/>
        <c:minorTickMark val="none"/>
        <c:tickLblPos val="nextTo"/>
        <c:crossAx val="8891925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table!PivotTable7</c:name>
    <c:fmtId val="27"/>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dLbl>
          <c:idx val="0"/>
          <c:layout>
            <c:manualLayout>
              <c:x val="-1.4825796886582653E-2"/>
              <c:y val="-0.17129629629629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1.4825796886582653E-2"/>
              <c:y val="-0.17129629629629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dLbl>
          <c:idx val="0"/>
          <c:layout>
            <c:manualLayout>
              <c:x val="7.9772079772079882E-2"/>
              <c:y val="-0.148571428571428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dLbl>
          <c:idx val="0"/>
          <c:layout>
            <c:manualLayout>
              <c:x val="2.5641025641025536E-2"/>
              <c:y val="-0.1485714285714285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c:spPr>
        <c:dLbl>
          <c:idx val="0"/>
          <c:layout>
            <c:manualLayout>
              <c:x val="7.9772079772079771E-2"/>
              <c:y val="-0.1828571428571428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dLbl>
          <c:idx val="0"/>
          <c:layout>
            <c:manualLayout>
              <c:x val="7.6923076923076816E-2"/>
              <c:y val="-4.571428571428581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c:spPr>
        <c:dLbl>
          <c:idx val="0"/>
          <c:layout>
            <c:manualLayout>
              <c:x val="3.1339031339031133E-2"/>
              <c:y val="8.00004499437569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979182089418306E-2"/>
                  <c:h val="0.16138942632170977"/>
                </c:manualLayout>
              </c15:layout>
            </c:ext>
          </c:extLst>
        </c:dLbl>
      </c:pivotFmt>
    </c:pivotFmts>
    <c:plotArea>
      <c:layout>
        <c:manualLayout>
          <c:layoutTarget val="inner"/>
          <c:xMode val="edge"/>
          <c:yMode val="edge"/>
          <c:x val="0.1655770913251228"/>
          <c:y val="9.1428571428571428E-2"/>
          <c:w val="0.79606203104298101"/>
          <c:h val="0.74857142857142855"/>
        </c:manualLayout>
      </c:layout>
      <c:barChart>
        <c:barDir val="bar"/>
        <c:grouping val="clustered"/>
        <c:varyColors val="0"/>
        <c:ser>
          <c:idx val="0"/>
          <c:order val="0"/>
          <c:tx>
            <c:strRef>
              <c:f>'pivot table'!$Q$4</c:f>
              <c:strCache>
                <c:ptCount val="1"/>
                <c:pt idx="0">
                  <c:v>Total</c:v>
                </c:pt>
              </c:strCache>
            </c:strRef>
          </c:tx>
          <c:spPr>
            <a:solidFill>
              <a:schemeClr val="accent1"/>
            </a:solidFill>
            <a:ln>
              <a:noFill/>
            </a:ln>
            <a:effectLst/>
          </c:spPr>
          <c:invertIfNegative val="0"/>
          <c:dLbls>
            <c:dLbl>
              <c:idx val="0"/>
              <c:layout>
                <c:manualLayout>
                  <c:x val="3.1339031339031133E-2"/>
                  <c:y val="8.0000449943756921E-2"/>
                </c:manualLayout>
              </c:layout>
              <c:showLegendKey val="0"/>
              <c:showVal val="1"/>
              <c:showCatName val="0"/>
              <c:showSerName val="0"/>
              <c:showPercent val="0"/>
              <c:showBubbleSize val="0"/>
              <c:extLst>
                <c:ext xmlns:c15="http://schemas.microsoft.com/office/drawing/2012/chart" uri="{CE6537A1-D6FC-4f65-9D91-7224C49458BB}">
                  <c15:layout>
                    <c:manualLayout>
                      <c:w val="8.3979182089418306E-2"/>
                      <c:h val="0.16138942632170977"/>
                    </c:manualLayout>
                  </c15:layout>
                </c:ext>
                <c:ext xmlns:c16="http://schemas.microsoft.com/office/drawing/2014/chart" uri="{C3380CC4-5D6E-409C-BE32-E72D297353CC}">
                  <c16:uniqueId val="{00000000-9DD3-41C6-AD83-0543C7BB859D}"/>
                </c:ext>
              </c:extLst>
            </c:dLbl>
            <c:dLbl>
              <c:idx val="1"/>
              <c:layout>
                <c:manualLayout>
                  <c:x val="7.6923076923076816E-2"/>
                  <c:y val="-4.57142857142858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D3-41C6-AD83-0543C7BB859D}"/>
                </c:ext>
              </c:extLst>
            </c:dLbl>
            <c:dLbl>
              <c:idx val="2"/>
              <c:layout>
                <c:manualLayout>
                  <c:x val="7.9772079772079771E-2"/>
                  <c:y val="-0.182857142857142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D3-41C6-AD83-0543C7BB859D}"/>
                </c:ext>
              </c:extLst>
            </c:dLbl>
            <c:dLbl>
              <c:idx val="3"/>
              <c:layout>
                <c:manualLayout>
                  <c:x val="7.9772079772079882E-2"/>
                  <c:y val="-0.14857142857142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D3-41C6-AD83-0543C7BB859D}"/>
                </c:ext>
              </c:extLst>
            </c:dLbl>
            <c:dLbl>
              <c:idx val="4"/>
              <c:layout>
                <c:manualLayout>
                  <c:x val="2.5641025641025536E-2"/>
                  <c:y val="-0.148571428571428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D3-41C6-AD83-0543C7BB859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table'!$P$5:$P$11</c:f>
              <c:strCache>
                <c:ptCount val="6"/>
                <c:pt idx="0">
                  <c:v>Laptops</c:v>
                </c:pt>
                <c:pt idx="1">
                  <c:v>4K LED TV's</c:v>
                </c:pt>
                <c:pt idx="2">
                  <c:v>Speakers</c:v>
                </c:pt>
                <c:pt idx="3">
                  <c:v>Furniture</c:v>
                </c:pt>
                <c:pt idx="4">
                  <c:v>Mobiles</c:v>
                </c:pt>
                <c:pt idx="5">
                  <c:v>LED TV's</c:v>
                </c:pt>
              </c:strCache>
            </c:strRef>
          </c:cat>
          <c:val>
            <c:numRef>
              <c:f>'pivot table'!$Q$5:$Q$11</c:f>
              <c:numCache>
                <c:formatCode>General</c:formatCode>
                <c:ptCount val="6"/>
                <c:pt idx="0">
                  <c:v>1615</c:v>
                </c:pt>
                <c:pt idx="1">
                  <c:v>1503</c:v>
                </c:pt>
                <c:pt idx="2">
                  <c:v>1457</c:v>
                </c:pt>
                <c:pt idx="3">
                  <c:v>1233</c:v>
                </c:pt>
                <c:pt idx="4">
                  <c:v>1168</c:v>
                </c:pt>
                <c:pt idx="5">
                  <c:v>694</c:v>
                </c:pt>
              </c:numCache>
            </c:numRef>
          </c:val>
          <c:extLst>
            <c:ext xmlns:c16="http://schemas.microsoft.com/office/drawing/2014/chart" uri="{C3380CC4-5D6E-409C-BE32-E72D297353CC}">
              <c16:uniqueId val="{00000001-9DD3-41C6-AD83-0543C7BB859D}"/>
            </c:ext>
          </c:extLst>
        </c:ser>
        <c:dLbls>
          <c:showLegendKey val="0"/>
          <c:showVal val="0"/>
          <c:showCatName val="0"/>
          <c:showSerName val="0"/>
          <c:showPercent val="0"/>
          <c:showBubbleSize val="0"/>
        </c:dLbls>
        <c:gapWidth val="182"/>
        <c:axId val="889188736"/>
        <c:axId val="889179136"/>
      </c:barChart>
      <c:catAx>
        <c:axId val="88918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179136"/>
        <c:crosses val="autoZero"/>
        <c:auto val="1"/>
        <c:lblAlgn val="ctr"/>
        <c:lblOffset val="100"/>
        <c:noMultiLvlLbl val="0"/>
      </c:catAx>
      <c:valAx>
        <c:axId val="889179136"/>
        <c:scaling>
          <c:orientation val="minMax"/>
        </c:scaling>
        <c:delete val="1"/>
        <c:axPos val="b"/>
        <c:numFmt formatCode="General" sourceLinked="1"/>
        <c:majorTickMark val="none"/>
        <c:minorTickMark val="none"/>
        <c:tickLblPos val="nextTo"/>
        <c:crossAx val="88918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7167630057803466"/>
          <c:w val="0.93888888888888888"/>
          <c:h val="0.62239178917664195"/>
        </c:manualLayout>
      </c:layout>
      <c:barChart>
        <c:barDir val="col"/>
        <c:grouping val="clustered"/>
        <c:varyColors val="0"/>
        <c:ser>
          <c:idx val="0"/>
          <c:order val="0"/>
          <c:tx>
            <c:strRef>
              <c:f>'pivot table'!$AH$6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table'!$AG$7:$AG$13</c:f>
              <c:strCache>
                <c:ptCount val="6"/>
                <c:pt idx="0">
                  <c:v>4K LED TV's</c:v>
                </c:pt>
                <c:pt idx="1">
                  <c:v>Furniture</c:v>
                </c:pt>
                <c:pt idx="2">
                  <c:v>Laptops</c:v>
                </c:pt>
                <c:pt idx="3">
                  <c:v>LED TV's</c:v>
                </c:pt>
                <c:pt idx="4">
                  <c:v>Mobiles</c:v>
                </c:pt>
                <c:pt idx="5">
                  <c:v>Speakers</c:v>
                </c:pt>
              </c:strCache>
            </c:strRef>
          </c:cat>
          <c:val>
            <c:numRef>
              <c:f>'pivot table'!$AH$7:$AH$13</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4011-4E71-81A5-9F4EC462E036}"/>
            </c:ext>
          </c:extLst>
        </c:ser>
        <c:dLbls>
          <c:dLblPos val="outEnd"/>
          <c:showLegendKey val="0"/>
          <c:showVal val="1"/>
          <c:showCatName val="0"/>
          <c:showSerName val="0"/>
          <c:showPercent val="0"/>
          <c:showBubbleSize val="0"/>
        </c:dLbls>
        <c:gapWidth val="219"/>
        <c:overlap val="-27"/>
        <c:axId val="2046445024"/>
        <c:axId val="2046436864"/>
      </c:barChart>
      <c:catAx>
        <c:axId val="20464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436864"/>
        <c:crosses val="autoZero"/>
        <c:auto val="1"/>
        <c:lblAlgn val="ctr"/>
        <c:lblOffset val="100"/>
        <c:noMultiLvlLbl val="0"/>
      </c:catAx>
      <c:valAx>
        <c:axId val="2046436864"/>
        <c:scaling>
          <c:orientation val="minMax"/>
        </c:scaling>
        <c:delete val="1"/>
        <c:axPos val="l"/>
        <c:numFmt formatCode="General" sourceLinked="1"/>
        <c:majorTickMark val="none"/>
        <c:minorTickMark val="none"/>
        <c:tickLblPos val="nextTo"/>
        <c:crossAx val="20464450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table!PivotTable9</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table'!$BC$9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table'!$BB$10:$BB$13</c:f>
              <c:strCache>
                <c:ptCount val="3"/>
                <c:pt idx="0">
                  <c:v>Kiran</c:v>
                </c:pt>
                <c:pt idx="1">
                  <c:v>Gopi</c:v>
                </c:pt>
                <c:pt idx="2">
                  <c:v>Ganesh</c:v>
                </c:pt>
              </c:strCache>
            </c:strRef>
          </c:cat>
          <c:val>
            <c:numRef>
              <c:f>'pivot table'!$BC$10:$BC$13</c:f>
              <c:numCache>
                <c:formatCode>General</c:formatCode>
                <c:ptCount val="3"/>
                <c:pt idx="0">
                  <c:v>1407</c:v>
                </c:pt>
                <c:pt idx="1">
                  <c:v>1534</c:v>
                </c:pt>
                <c:pt idx="2">
                  <c:v>1687</c:v>
                </c:pt>
              </c:numCache>
            </c:numRef>
          </c:val>
          <c:extLst>
            <c:ext xmlns:c16="http://schemas.microsoft.com/office/drawing/2014/chart" uri="{C3380CC4-5D6E-409C-BE32-E72D297353CC}">
              <c16:uniqueId val="{00000000-CC0B-421D-94B8-94F2D90AD491}"/>
            </c:ext>
          </c:extLst>
        </c:ser>
        <c:dLbls>
          <c:dLblPos val="outEnd"/>
          <c:showLegendKey val="0"/>
          <c:showVal val="1"/>
          <c:showCatName val="0"/>
          <c:showSerName val="0"/>
          <c:showPercent val="0"/>
          <c:showBubbleSize val="0"/>
        </c:dLbls>
        <c:gapWidth val="182"/>
        <c:axId val="1150500160"/>
        <c:axId val="1150500640"/>
      </c:barChart>
      <c:catAx>
        <c:axId val="1150500160"/>
        <c:scaling>
          <c:orientation val="minMax"/>
        </c:scaling>
        <c:delete val="1"/>
        <c:axPos val="l"/>
        <c:numFmt formatCode="General" sourceLinked="1"/>
        <c:majorTickMark val="none"/>
        <c:minorTickMark val="none"/>
        <c:tickLblPos val="nextTo"/>
        <c:crossAx val="1150500640"/>
        <c:crosses val="autoZero"/>
        <c:auto val="1"/>
        <c:lblAlgn val="ctr"/>
        <c:lblOffset val="100"/>
        <c:noMultiLvlLbl val="0"/>
      </c:catAx>
      <c:valAx>
        <c:axId val="1150500640"/>
        <c:scaling>
          <c:orientation val="minMax"/>
        </c:scaling>
        <c:delete val="1"/>
        <c:axPos val="b"/>
        <c:numFmt formatCode="General" sourceLinked="1"/>
        <c:majorTickMark val="none"/>
        <c:minorTickMark val="none"/>
        <c:tickLblPos val="nextTo"/>
        <c:crossAx val="11505001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table!PivotTable10</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table'!$BJ$11:$BJ$14</c:f>
              <c:strCache>
                <c:ptCount val="3"/>
                <c:pt idx="0">
                  <c:v>Mahesh</c:v>
                </c:pt>
                <c:pt idx="1">
                  <c:v>Ramesh</c:v>
                </c:pt>
                <c:pt idx="2">
                  <c:v>Prathap</c:v>
                </c:pt>
              </c:strCache>
            </c:strRef>
          </c:cat>
          <c:val>
            <c:numRef>
              <c:f>'pivot table'!$BK$11:$BK$14</c:f>
              <c:numCache>
                <c:formatCode>General</c:formatCode>
                <c:ptCount val="3"/>
                <c:pt idx="0">
                  <c:v>810</c:v>
                </c:pt>
                <c:pt idx="1">
                  <c:v>947</c:v>
                </c:pt>
                <c:pt idx="2">
                  <c:v>1285</c:v>
                </c:pt>
              </c:numCache>
            </c:numRef>
          </c:val>
          <c:extLst>
            <c:ext xmlns:c16="http://schemas.microsoft.com/office/drawing/2014/chart" uri="{C3380CC4-5D6E-409C-BE32-E72D297353CC}">
              <c16:uniqueId val="{00000000-4899-4459-8A99-93E9D3C80D06}"/>
            </c:ext>
          </c:extLst>
        </c:ser>
        <c:dLbls>
          <c:dLblPos val="outEnd"/>
          <c:showLegendKey val="0"/>
          <c:showVal val="1"/>
          <c:showCatName val="0"/>
          <c:showSerName val="0"/>
          <c:showPercent val="0"/>
          <c:showBubbleSize val="0"/>
        </c:dLbls>
        <c:gapWidth val="182"/>
        <c:axId val="1150472320"/>
        <c:axId val="1150479040"/>
      </c:barChart>
      <c:catAx>
        <c:axId val="1150472320"/>
        <c:scaling>
          <c:orientation val="minMax"/>
        </c:scaling>
        <c:delete val="1"/>
        <c:axPos val="l"/>
        <c:numFmt formatCode="General" sourceLinked="1"/>
        <c:majorTickMark val="none"/>
        <c:minorTickMark val="none"/>
        <c:tickLblPos val="nextTo"/>
        <c:crossAx val="1150479040"/>
        <c:crosses val="autoZero"/>
        <c:auto val="1"/>
        <c:lblAlgn val="ctr"/>
        <c:lblOffset val="100"/>
        <c:noMultiLvlLbl val="0"/>
      </c:catAx>
      <c:valAx>
        <c:axId val="1150479040"/>
        <c:scaling>
          <c:orientation val="minMax"/>
        </c:scaling>
        <c:delete val="1"/>
        <c:axPos val="b"/>
        <c:numFmt formatCode="General" sourceLinked="1"/>
        <c:majorTickMark val="none"/>
        <c:minorTickMark val="none"/>
        <c:tickLblPos val="nextTo"/>
        <c:crossAx val="11504723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performance.xlsx]pivot table!PivotTable12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table'!$BP$3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table'!$BO$4:$BO$10</c:f>
              <c:strCache>
                <c:ptCount val="6"/>
                <c:pt idx="0">
                  <c:v>Ganesh</c:v>
                </c:pt>
                <c:pt idx="1">
                  <c:v>Gopi</c:v>
                </c:pt>
                <c:pt idx="2">
                  <c:v>Kiran</c:v>
                </c:pt>
                <c:pt idx="3">
                  <c:v>Mahesh</c:v>
                </c:pt>
                <c:pt idx="4">
                  <c:v>Prathap</c:v>
                </c:pt>
                <c:pt idx="5">
                  <c:v>Ramesh</c:v>
                </c:pt>
              </c:strCache>
            </c:strRef>
          </c:cat>
          <c:val>
            <c:numRef>
              <c:f>'pivot table'!$BP$4:$BP$10</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9753-4933-AB3E-D40A57B9973C}"/>
            </c:ext>
          </c:extLst>
        </c:ser>
        <c:dLbls>
          <c:dLblPos val="outEnd"/>
          <c:showLegendKey val="0"/>
          <c:showVal val="1"/>
          <c:showCatName val="0"/>
          <c:showSerName val="0"/>
          <c:showPercent val="0"/>
          <c:showBubbleSize val="0"/>
        </c:dLbls>
        <c:gapWidth val="219"/>
        <c:overlap val="-27"/>
        <c:axId val="1149300560"/>
        <c:axId val="1149301520"/>
      </c:barChart>
      <c:catAx>
        <c:axId val="114930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01520"/>
        <c:crosses val="autoZero"/>
        <c:auto val="1"/>
        <c:lblAlgn val="ctr"/>
        <c:lblOffset val="100"/>
        <c:noMultiLvlLbl val="0"/>
      </c:catAx>
      <c:valAx>
        <c:axId val="1149301520"/>
        <c:scaling>
          <c:orientation val="minMax"/>
        </c:scaling>
        <c:delete val="1"/>
        <c:axPos val="l"/>
        <c:numFmt formatCode="General" sourceLinked="1"/>
        <c:majorTickMark val="none"/>
        <c:minorTickMark val="none"/>
        <c:tickLblPos val="nextTo"/>
        <c:crossAx val="114930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7.svg"/><Relationship Id="rId3" Type="http://schemas.openxmlformats.org/officeDocument/2006/relationships/image" Target="../media/image3.svg"/><Relationship Id="rId7" Type="http://schemas.openxmlformats.org/officeDocument/2006/relationships/image" Target="../media/image4.png"/><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chart" Target="../charts/chart12.xml"/><Relationship Id="rId5" Type="http://schemas.openxmlformats.org/officeDocument/2006/relationships/hyperlink" Target="#'top selling'!A1"/><Relationship Id="rId10" Type="http://schemas.openxmlformats.org/officeDocument/2006/relationships/chart" Target="../charts/chart11.xml"/><Relationship Id="rId4" Type="http://schemas.openxmlformats.org/officeDocument/2006/relationships/hyperlink" Target="#Dashboard!A1"/><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9.svg"/><Relationship Id="rId7" Type="http://schemas.openxmlformats.org/officeDocument/2006/relationships/chart" Target="../charts/chart13.xml"/><Relationship Id="rId2"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top selling'!A1"/><Relationship Id="rId4" Type="http://schemas.openxmlformats.org/officeDocument/2006/relationships/hyperlink" Target="#Dashboard!A1"/><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9.svg"/><Relationship Id="rId7" Type="http://schemas.openxmlformats.org/officeDocument/2006/relationships/chart" Target="../charts/chart16.xml"/><Relationship Id="rId2"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top selling'!A1"/><Relationship Id="rId9"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hyperlink" Target="#'top selling'!A1"/><Relationship Id="rId7" Type="http://schemas.openxmlformats.org/officeDocument/2006/relationships/image" Target="../media/image11.sv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hyperlink" Target="#About!A1"/><Relationship Id="rId4" Type="http://schemas.openxmlformats.org/officeDocument/2006/relationships/hyperlink" Target="#salesman!A1"/></Relationships>
</file>

<file path=xl/drawings/drawing1.xml><?xml version="1.0" encoding="utf-8"?>
<xdr:wsDr xmlns:xdr="http://schemas.openxmlformats.org/drawingml/2006/spreadsheetDrawing" xmlns:a="http://schemas.openxmlformats.org/drawingml/2006/main">
  <xdr:twoCellAnchor>
    <xdr:from>
      <xdr:col>2</xdr:col>
      <xdr:colOff>266700</xdr:colOff>
      <xdr:row>0</xdr:row>
      <xdr:rowOff>101600</xdr:rowOff>
    </xdr:from>
    <xdr:to>
      <xdr:col>7</xdr:col>
      <xdr:colOff>196850</xdr:colOff>
      <xdr:row>9</xdr:row>
      <xdr:rowOff>177800</xdr:rowOff>
    </xdr:to>
    <xdr:graphicFrame macro="">
      <xdr:nvGraphicFramePr>
        <xdr:cNvPr id="5" name="Chart 4">
          <a:extLst>
            <a:ext uri="{FF2B5EF4-FFF2-40B4-BE49-F238E27FC236}">
              <a16:creationId xmlns:a16="http://schemas.microsoft.com/office/drawing/2014/main" id="{93F6B277-F032-675D-9B00-E459FF658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146050</xdr:rowOff>
    </xdr:from>
    <xdr:to>
      <xdr:col>4</xdr:col>
      <xdr:colOff>450851</xdr:colOff>
      <xdr:row>31</xdr:row>
      <xdr:rowOff>44450</xdr:rowOff>
    </xdr:to>
    <xdr:graphicFrame macro="">
      <xdr:nvGraphicFramePr>
        <xdr:cNvPr id="6" name="Chart 5">
          <a:extLst>
            <a:ext uri="{FF2B5EF4-FFF2-40B4-BE49-F238E27FC236}">
              <a16:creationId xmlns:a16="http://schemas.microsoft.com/office/drawing/2014/main" id="{1CB7F751-E3A3-395D-DC48-B924982BE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xdr:colOff>
      <xdr:row>21</xdr:row>
      <xdr:rowOff>127000</xdr:rowOff>
    </xdr:from>
    <xdr:to>
      <xdr:col>11</xdr:col>
      <xdr:colOff>82550</xdr:colOff>
      <xdr:row>31</xdr:row>
      <xdr:rowOff>114300</xdr:rowOff>
    </xdr:to>
    <xdr:graphicFrame macro="">
      <xdr:nvGraphicFramePr>
        <xdr:cNvPr id="7" name="Chart 6">
          <a:extLst>
            <a:ext uri="{FF2B5EF4-FFF2-40B4-BE49-F238E27FC236}">
              <a16:creationId xmlns:a16="http://schemas.microsoft.com/office/drawing/2014/main" id="{290188D6-4DFB-D3C7-94C7-65B7B3C5A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155575</xdr:colOff>
      <xdr:row>2</xdr:row>
      <xdr:rowOff>6350</xdr:rowOff>
    </xdr:from>
    <xdr:to>
      <xdr:col>27</xdr:col>
      <xdr:colOff>171450</xdr:colOff>
      <xdr:row>16</xdr:row>
      <xdr:rowOff>171450</xdr:rowOff>
    </xdr:to>
    <xdr:graphicFrame macro="">
      <xdr:nvGraphicFramePr>
        <xdr:cNvPr id="8" name="Chart 7">
          <a:extLst>
            <a:ext uri="{FF2B5EF4-FFF2-40B4-BE49-F238E27FC236}">
              <a16:creationId xmlns:a16="http://schemas.microsoft.com/office/drawing/2014/main" id="{52CB8DD6-CB69-6D59-3C75-4B1DAD2395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568325</xdr:colOff>
      <xdr:row>23</xdr:row>
      <xdr:rowOff>12700</xdr:rowOff>
    </xdr:from>
    <xdr:to>
      <xdr:col>22</xdr:col>
      <xdr:colOff>425450</xdr:colOff>
      <xdr:row>36</xdr:row>
      <xdr:rowOff>88900</xdr:rowOff>
    </xdr:to>
    <xdr:graphicFrame macro="">
      <xdr:nvGraphicFramePr>
        <xdr:cNvPr id="9" name="Chart 8">
          <a:extLst>
            <a:ext uri="{FF2B5EF4-FFF2-40B4-BE49-F238E27FC236}">
              <a16:creationId xmlns:a16="http://schemas.microsoft.com/office/drawing/2014/main" id="{1E23DDF9-74DC-EEB2-E158-E7081CE66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88900</xdr:colOff>
      <xdr:row>1</xdr:row>
      <xdr:rowOff>82550</xdr:rowOff>
    </xdr:from>
    <xdr:to>
      <xdr:col>41</xdr:col>
      <xdr:colOff>63500</xdr:colOff>
      <xdr:row>16</xdr:row>
      <xdr:rowOff>63500</xdr:rowOff>
    </xdr:to>
    <xdr:graphicFrame macro="">
      <xdr:nvGraphicFramePr>
        <xdr:cNvPr id="10" name="Chart 9">
          <a:extLst>
            <a:ext uri="{FF2B5EF4-FFF2-40B4-BE49-F238E27FC236}">
              <a16:creationId xmlns:a16="http://schemas.microsoft.com/office/drawing/2014/main" id="{D29B1A26-06AA-0C8C-01FE-8248C760F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104775</xdr:colOff>
      <xdr:row>18</xdr:row>
      <xdr:rowOff>57150</xdr:rowOff>
    </xdr:from>
    <xdr:to>
      <xdr:col>47</xdr:col>
      <xdr:colOff>117475</xdr:colOff>
      <xdr:row>30</xdr:row>
      <xdr:rowOff>82550</xdr:rowOff>
    </xdr:to>
    <xdr:graphicFrame macro="">
      <xdr:nvGraphicFramePr>
        <xdr:cNvPr id="11" name="Chart 10">
          <a:extLst>
            <a:ext uri="{FF2B5EF4-FFF2-40B4-BE49-F238E27FC236}">
              <a16:creationId xmlns:a16="http://schemas.microsoft.com/office/drawing/2014/main" id="{00E338AD-6255-4478-B270-08B6B5276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377825</xdr:colOff>
      <xdr:row>1</xdr:row>
      <xdr:rowOff>82550</xdr:rowOff>
    </xdr:from>
    <xdr:to>
      <xdr:col>57</xdr:col>
      <xdr:colOff>177800</xdr:colOff>
      <xdr:row>16</xdr:row>
      <xdr:rowOff>63500</xdr:rowOff>
    </xdr:to>
    <xdr:graphicFrame macro="">
      <xdr:nvGraphicFramePr>
        <xdr:cNvPr id="12" name="Chart 11">
          <a:extLst>
            <a:ext uri="{FF2B5EF4-FFF2-40B4-BE49-F238E27FC236}">
              <a16:creationId xmlns:a16="http://schemas.microsoft.com/office/drawing/2014/main" id="{5B490443-8A82-6933-635C-77D7A0ECE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70</xdr:col>
      <xdr:colOff>28575</xdr:colOff>
      <xdr:row>2</xdr:row>
      <xdr:rowOff>0</xdr:rowOff>
    </xdr:from>
    <xdr:to>
      <xdr:col>78</xdr:col>
      <xdr:colOff>511175</xdr:colOff>
      <xdr:row>16</xdr:row>
      <xdr:rowOff>165100</xdr:rowOff>
    </xdr:to>
    <xdr:graphicFrame macro="">
      <xdr:nvGraphicFramePr>
        <xdr:cNvPr id="13" name="Chart 12">
          <a:extLst>
            <a:ext uri="{FF2B5EF4-FFF2-40B4-BE49-F238E27FC236}">
              <a16:creationId xmlns:a16="http://schemas.microsoft.com/office/drawing/2014/main" id="{6418280A-7F0E-0E8F-2344-CE387FA30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0</xdr:row>
      <xdr:rowOff>0</xdr:rowOff>
    </xdr:from>
    <xdr:to>
      <xdr:col>52</xdr:col>
      <xdr:colOff>393700</xdr:colOff>
      <xdr:row>133</xdr:row>
      <xdr:rowOff>177800</xdr:rowOff>
    </xdr:to>
    <xdr:sp macro="" textlink="">
      <xdr:nvSpPr>
        <xdr:cNvPr id="2" name="Rectangle: Rounded Corners 1">
          <a:extLst>
            <a:ext uri="{FF2B5EF4-FFF2-40B4-BE49-F238E27FC236}">
              <a16:creationId xmlns:a16="http://schemas.microsoft.com/office/drawing/2014/main" id="{AEC9F36E-D174-830C-2BBB-0B517BAF8AA2}"/>
            </a:ext>
          </a:extLst>
        </xdr:cNvPr>
        <xdr:cNvSpPr/>
      </xdr:nvSpPr>
      <xdr:spPr>
        <a:xfrm>
          <a:off x="1905000" y="0"/>
          <a:ext cx="30187900" cy="24669750"/>
        </a:xfrm>
        <a:prstGeom prst="roundRect">
          <a:avLst>
            <a:gd name="adj" fmla="val 0"/>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127000</xdr:colOff>
      <xdr:row>9</xdr:row>
      <xdr:rowOff>57149</xdr:rowOff>
    </xdr:from>
    <xdr:to>
      <xdr:col>18</xdr:col>
      <xdr:colOff>120650</xdr:colOff>
      <xdr:row>13</xdr:row>
      <xdr:rowOff>38100</xdr:rowOff>
    </xdr:to>
    <xdr:pic>
      <xdr:nvPicPr>
        <xdr:cNvPr id="3" name="Picture 2">
          <a:extLst>
            <a:ext uri="{FF2B5EF4-FFF2-40B4-BE49-F238E27FC236}">
              <a16:creationId xmlns:a16="http://schemas.microsoft.com/office/drawing/2014/main" id="{78ABBA03-9AB5-2AAC-2430-8DAD8396E310}"/>
            </a:ext>
          </a:extLst>
        </xdr:cNvPr>
        <xdr:cNvPicPr>
          <a:picLocks noChangeAspect="1"/>
        </xdr:cNvPicPr>
      </xdr:nvPicPr>
      <xdr:blipFill>
        <a:blip xmlns:r="http://schemas.openxmlformats.org/officeDocument/2006/relationships" r:embed="rId1"/>
        <a:stretch>
          <a:fillRect/>
        </a:stretch>
      </xdr:blipFill>
      <xdr:spPr>
        <a:xfrm>
          <a:off x="1955800" y="1714499"/>
          <a:ext cx="9137650" cy="717551"/>
        </a:xfrm>
        <a:prstGeom prst="rect">
          <a:avLst/>
        </a:prstGeom>
      </xdr:spPr>
    </xdr:pic>
    <xdr:clientData/>
  </xdr:twoCellAnchor>
  <xdr:twoCellAnchor editAs="oneCell">
    <xdr:from>
      <xdr:col>3</xdr:col>
      <xdr:colOff>133350</xdr:colOff>
      <xdr:row>0</xdr:row>
      <xdr:rowOff>0</xdr:rowOff>
    </xdr:from>
    <xdr:to>
      <xdr:col>12</xdr:col>
      <xdr:colOff>120650</xdr:colOff>
      <xdr:row>7</xdr:row>
      <xdr:rowOff>133350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16C537D8-DA51-4C6B-BA35-DAFBD386042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962150" y="0"/>
              <a:ext cx="5473700" cy="1422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177800</xdr:colOff>
      <xdr:row>0</xdr:row>
      <xdr:rowOff>6350</xdr:rowOff>
    </xdr:from>
    <xdr:to>
      <xdr:col>19</xdr:col>
      <xdr:colOff>44450</xdr:colOff>
      <xdr:row>7</xdr:row>
      <xdr:rowOff>133350</xdr:rowOff>
    </xdr:to>
    <mc:AlternateContent xmlns:mc="http://schemas.openxmlformats.org/markup-compatibility/2006">
      <mc:Choice xmlns:a14="http://schemas.microsoft.com/office/drawing/2010/main" Requires="a14">
        <xdr:graphicFrame macro="">
          <xdr:nvGraphicFramePr>
            <xdr:cNvPr id="5" name="Place 1">
              <a:extLst>
                <a:ext uri="{FF2B5EF4-FFF2-40B4-BE49-F238E27FC236}">
                  <a16:creationId xmlns:a16="http://schemas.microsoft.com/office/drawing/2014/main" id="{F83AF856-3640-433C-9E64-07922D19DFEC}"/>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dr:sp macro="" textlink="">
          <xdr:nvSpPr>
            <xdr:cNvPr id="0" name=""/>
            <xdr:cNvSpPr>
              <a:spLocks noTextEdit="1"/>
            </xdr:cNvSpPr>
          </xdr:nvSpPr>
          <xdr:spPr>
            <a:xfrm>
              <a:off x="7493000" y="6350"/>
              <a:ext cx="413385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9</xdr:row>
      <xdr:rowOff>57150</xdr:rowOff>
    </xdr:from>
    <xdr:to>
      <xdr:col>19</xdr:col>
      <xdr:colOff>107950</xdr:colOff>
      <xdr:row>13</xdr:row>
      <xdr:rowOff>76200</xdr:rowOff>
    </xdr:to>
    <mc:AlternateContent xmlns:mc="http://schemas.openxmlformats.org/markup-compatibility/2006">
      <mc:Choice xmlns:a14="http://schemas.microsoft.com/office/drawing/2010/main" Requires="a14">
        <xdr:graphicFrame macro="">
          <xdr:nvGraphicFramePr>
            <xdr:cNvPr id="6" name="Products 1">
              <a:extLst>
                <a:ext uri="{FF2B5EF4-FFF2-40B4-BE49-F238E27FC236}">
                  <a16:creationId xmlns:a16="http://schemas.microsoft.com/office/drawing/2014/main" id="{0548DD44-B67B-4FED-B52A-A23B1B404FAD}"/>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1924050" y="1714500"/>
              <a:ext cx="9766300" cy="75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xdr:colOff>
      <xdr:row>13</xdr:row>
      <xdr:rowOff>127000</xdr:rowOff>
    </xdr:from>
    <xdr:to>
      <xdr:col>4</xdr:col>
      <xdr:colOff>355600</xdr:colOff>
      <xdr:row>18</xdr:row>
      <xdr:rowOff>120650</xdr:rowOff>
    </xdr:to>
    <xdr:pic>
      <xdr:nvPicPr>
        <xdr:cNvPr id="8" name="Graphic 7" descr="Bar chart with solid fill">
          <a:extLst>
            <a:ext uri="{FF2B5EF4-FFF2-40B4-BE49-F238E27FC236}">
              <a16:creationId xmlns:a16="http://schemas.microsoft.com/office/drawing/2014/main" id="{620FC9B0-EE94-7458-9530-8E49B24711E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79600" y="2520950"/>
          <a:ext cx="914400" cy="914400"/>
        </a:xfrm>
        <a:prstGeom prst="rect">
          <a:avLst/>
        </a:prstGeom>
      </xdr:spPr>
    </xdr:pic>
    <xdr:clientData/>
  </xdr:twoCellAnchor>
  <xdr:twoCellAnchor>
    <xdr:from>
      <xdr:col>4</xdr:col>
      <xdr:colOff>336550</xdr:colOff>
      <xdr:row>16</xdr:row>
      <xdr:rowOff>0</xdr:rowOff>
    </xdr:from>
    <xdr:to>
      <xdr:col>6</xdr:col>
      <xdr:colOff>107950</xdr:colOff>
      <xdr:row>17</xdr:row>
      <xdr:rowOff>139700</xdr:rowOff>
    </xdr:to>
    <xdr:sp macro="" textlink="">
      <xdr:nvSpPr>
        <xdr:cNvPr id="9" name="Rectangle 8">
          <a:extLst>
            <a:ext uri="{FF2B5EF4-FFF2-40B4-BE49-F238E27FC236}">
              <a16:creationId xmlns:a16="http://schemas.microsoft.com/office/drawing/2014/main" id="{2330C21D-7E81-A84E-306D-20807868AC10}"/>
            </a:ext>
          </a:extLst>
        </xdr:cNvPr>
        <xdr:cNvSpPr/>
      </xdr:nvSpPr>
      <xdr:spPr>
        <a:xfrm>
          <a:off x="2774950" y="2946400"/>
          <a:ext cx="990600" cy="32385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3</xdr:col>
      <xdr:colOff>558800</xdr:colOff>
      <xdr:row>19</xdr:row>
      <xdr:rowOff>50800</xdr:rowOff>
    </xdr:from>
    <xdr:to>
      <xdr:col>6</xdr:col>
      <xdr:colOff>412750</xdr:colOff>
      <xdr:row>22</xdr:row>
      <xdr:rowOff>12700</xdr:rowOff>
    </xdr:to>
    <xdr:sp macro="" textlink="">
      <xdr:nvSpPr>
        <xdr:cNvPr id="15" name="Rectangle: Rounded Corners 14">
          <a:extLst>
            <a:ext uri="{FF2B5EF4-FFF2-40B4-BE49-F238E27FC236}">
              <a16:creationId xmlns:a16="http://schemas.microsoft.com/office/drawing/2014/main" id="{40F138F0-A544-6456-CF71-FF5FF7CF9991}"/>
            </a:ext>
          </a:extLst>
        </xdr:cNvPr>
        <xdr:cNvSpPr/>
      </xdr:nvSpPr>
      <xdr:spPr>
        <a:xfrm>
          <a:off x="2387600" y="3549650"/>
          <a:ext cx="1682750" cy="514350"/>
        </a:xfrm>
        <a:prstGeom prst="roundRect">
          <a:avLst>
            <a:gd name="adj" fmla="val 5039"/>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438150</xdr:colOff>
      <xdr:row>20</xdr:row>
      <xdr:rowOff>12700</xdr:rowOff>
    </xdr:from>
    <xdr:to>
      <xdr:col>6</xdr:col>
      <xdr:colOff>82550</xdr:colOff>
      <xdr:row>21</xdr:row>
      <xdr:rowOff>133350</xdr:rowOff>
    </xdr:to>
    <xdr:sp macro="" textlink="">
      <xdr:nvSpPr>
        <xdr:cNvPr id="16" name="Rectangle: Rounded Corners 15">
          <a:extLst>
            <a:ext uri="{FF2B5EF4-FFF2-40B4-BE49-F238E27FC236}">
              <a16:creationId xmlns:a16="http://schemas.microsoft.com/office/drawing/2014/main" id="{74DAECF2-EB9D-43A8-A3CE-022D4EAFD1F3}"/>
            </a:ext>
          </a:extLst>
        </xdr:cNvPr>
        <xdr:cNvSpPr/>
      </xdr:nvSpPr>
      <xdr:spPr>
        <a:xfrm>
          <a:off x="2876550" y="3695700"/>
          <a:ext cx="863600" cy="304800"/>
        </a:xfrm>
        <a:prstGeom prst="round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317500</xdr:colOff>
      <xdr:row>24</xdr:row>
      <xdr:rowOff>171450</xdr:rowOff>
    </xdr:from>
    <xdr:to>
      <xdr:col>10</xdr:col>
      <xdr:colOff>349250</xdr:colOff>
      <xdr:row>38</xdr:row>
      <xdr:rowOff>19050</xdr:rowOff>
    </xdr:to>
    <xdr:sp macro="" textlink="">
      <xdr:nvSpPr>
        <xdr:cNvPr id="19" name="Rectangle: Rounded Corners 18">
          <a:extLst>
            <a:ext uri="{FF2B5EF4-FFF2-40B4-BE49-F238E27FC236}">
              <a16:creationId xmlns:a16="http://schemas.microsoft.com/office/drawing/2014/main" id="{EDC56EAF-6368-3D3F-8703-CB8C1608B20A}"/>
            </a:ext>
          </a:extLst>
        </xdr:cNvPr>
        <xdr:cNvSpPr/>
      </xdr:nvSpPr>
      <xdr:spPr>
        <a:xfrm>
          <a:off x="2146300" y="4591050"/>
          <a:ext cx="4298950" cy="2425700"/>
        </a:xfrm>
        <a:prstGeom prst="roundRect">
          <a:avLst>
            <a:gd name="adj" fmla="val 183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476250</xdr:colOff>
      <xdr:row>15</xdr:row>
      <xdr:rowOff>82550</xdr:rowOff>
    </xdr:from>
    <xdr:to>
      <xdr:col>18</xdr:col>
      <xdr:colOff>577850</xdr:colOff>
      <xdr:row>23</xdr:row>
      <xdr:rowOff>38100</xdr:rowOff>
    </xdr:to>
    <xdr:sp macro="" textlink="">
      <xdr:nvSpPr>
        <xdr:cNvPr id="20" name="Rectangle: Rounded Corners 19">
          <a:extLst>
            <a:ext uri="{FF2B5EF4-FFF2-40B4-BE49-F238E27FC236}">
              <a16:creationId xmlns:a16="http://schemas.microsoft.com/office/drawing/2014/main" id="{80C53163-9A6A-4CD9-88C2-E9C3997D2C2C}"/>
            </a:ext>
          </a:extLst>
        </xdr:cNvPr>
        <xdr:cNvSpPr/>
      </xdr:nvSpPr>
      <xdr:spPr>
        <a:xfrm>
          <a:off x="7181850" y="2844800"/>
          <a:ext cx="4368800" cy="142875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438150</xdr:colOff>
      <xdr:row>24</xdr:row>
      <xdr:rowOff>95250</xdr:rowOff>
    </xdr:from>
    <xdr:to>
      <xdr:col>18</xdr:col>
      <xdr:colOff>552450</xdr:colOff>
      <xdr:row>38</xdr:row>
      <xdr:rowOff>31750</xdr:rowOff>
    </xdr:to>
    <xdr:sp macro="" textlink="">
      <xdr:nvSpPr>
        <xdr:cNvPr id="21" name="Rectangle: Rounded Corners 20">
          <a:extLst>
            <a:ext uri="{FF2B5EF4-FFF2-40B4-BE49-F238E27FC236}">
              <a16:creationId xmlns:a16="http://schemas.microsoft.com/office/drawing/2014/main" id="{245190AC-EB03-43EA-89D3-F1DBE0D81E49}"/>
            </a:ext>
          </a:extLst>
        </xdr:cNvPr>
        <xdr:cNvSpPr/>
      </xdr:nvSpPr>
      <xdr:spPr>
        <a:xfrm>
          <a:off x="7143750" y="4514850"/>
          <a:ext cx="4381500" cy="25146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158750</xdr:colOff>
      <xdr:row>15</xdr:row>
      <xdr:rowOff>152400</xdr:rowOff>
    </xdr:from>
    <xdr:to>
      <xdr:col>2</xdr:col>
      <xdr:colOff>298450</xdr:colOff>
      <xdr:row>18</xdr:row>
      <xdr:rowOff>63500</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9D3F5219-1F91-CC7C-D17B-7FA95A5FCD77}"/>
            </a:ext>
          </a:extLst>
        </xdr:cNvPr>
        <xdr:cNvSpPr/>
      </xdr:nvSpPr>
      <xdr:spPr>
        <a:xfrm>
          <a:off x="158750" y="2914650"/>
          <a:ext cx="1358900" cy="46355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rial Black" panose="020B0A04020102020204" pitchFamily="34" charset="0"/>
            </a:rPr>
            <a:t>DASH BOARD</a:t>
          </a:r>
        </a:p>
      </xdr:txBody>
    </xdr:sp>
    <xdr:clientData/>
  </xdr:twoCellAnchor>
  <xdr:twoCellAnchor>
    <xdr:from>
      <xdr:col>0</xdr:col>
      <xdr:colOff>190500</xdr:colOff>
      <xdr:row>19</xdr:row>
      <xdr:rowOff>38100</xdr:rowOff>
    </xdr:from>
    <xdr:to>
      <xdr:col>2</xdr:col>
      <xdr:colOff>292100</xdr:colOff>
      <xdr:row>21</xdr:row>
      <xdr:rowOff>171450</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3CC43F48-7F0B-8011-0844-0C5CAC6A3322}"/>
            </a:ext>
          </a:extLst>
        </xdr:cNvPr>
        <xdr:cNvSpPr/>
      </xdr:nvSpPr>
      <xdr:spPr>
        <a:xfrm>
          <a:off x="190500" y="3536950"/>
          <a:ext cx="1320800" cy="5016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solidFill>
              <a:latin typeface="Arial Black" panose="020B0A04020102020204" pitchFamily="34" charset="0"/>
            </a:rPr>
            <a:t>PRODUCTS</a:t>
          </a:r>
        </a:p>
      </xdr:txBody>
    </xdr:sp>
    <xdr:clientData/>
  </xdr:twoCellAnchor>
  <xdr:twoCellAnchor>
    <xdr:from>
      <xdr:col>0</xdr:col>
      <xdr:colOff>196850</xdr:colOff>
      <xdr:row>22</xdr:row>
      <xdr:rowOff>114300</xdr:rowOff>
    </xdr:from>
    <xdr:to>
      <xdr:col>2</xdr:col>
      <xdr:colOff>298450</xdr:colOff>
      <xdr:row>25</xdr:row>
      <xdr:rowOff>63500</xdr:rowOff>
    </xdr:to>
    <xdr:sp macro="" textlink="">
      <xdr:nvSpPr>
        <xdr:cNvPr id="24" name="Rectangle: Rounded Corners 23">
          <a:hlinkClick xmlns:r="http://schemas.openxmlformats.org/officeDocument/2006/relationships" r:id="rId6"/>
          <a:extLst>
            <a:ext uri="{FF2B5EF4-FFF2-40B4-BE49-F238E27FC236}">
              <a16:creationId xmlns:a16="http://schemas.microsoft.com/office/drawing/2014/main" id="{E7F47AAC-0E2F-45A6-B63D-14534C3AF930}"/>
            </a:ext>
          </a:extLst>
        </xdr:cNvPr>
        <xdr:cNvSpPr/>
      </xdr:nvSpPr>
      <xdr:spPr>
        <a:xfrm>
          <a:off x="196850" y="4165600"/>
          <a:ext cx="1320800" cy="501650"/>
        </a:xfrm>
        <a:prstGeom prst="roundRect">
          <a:avLst>
            <a:gd name="adj" fmla="val 1835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SALESMAN</a:t>
          </a:r>
        </a:p>
      </xdr:txBody>
    </xdr:sp>
    <xdr:clientData/>
  </xdr:twoCellAnchor>
  <xdr:twoCellAnchor>
    <xdr:from>
      <xdr:col>0</xdr:col>
      <xdr:colOff>190500</xdr:colOff>
      <xdr:row>26</xdr:row>
      <xdr:rowOff>50800</xdr:rowOff>
    </xdr:from>
    <xdr:to>
      <xdr:col>2</xdr:col>
      <xdr:colOff>304800</xdr:colOff>
      <xdr:row>29</xdr:row>
      <xdr:rowOff>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B50877DC-090F-43F7-A499-D7DF6B093208}"/>
            </a:ext>
          </a:extLst>
        </xdr:cNvPr>
        <xdr:cNvSpPr/>
      </xdr:nvSpPr>
      <xdr:spPr>
        <a:xfrm>
          <a:off x="190500" y="4838700"/>
          <a:ext cx="1333500" cy="501650"/>
        </a:xfrm>
        <a:prstGeom prst="roundRect">
          <a:avLst>
            <a:gd name="adj" fmla="val 1835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ABOUT</a:t>
          </a:r>
        </a:p>
      </xdr:txBody>
    </xdr:sp>
    <xdr:clientData/>
  </xdr:twoCellAnchor>
  <xdr:twoCellAnchor>
    <xdr:from>
      <xdr:col>4</xdr:col>
      <xdr:colOff>114300</xdr:colOff>
      <xdr:row>19</xdr:row>
      <xdr:rowOff>50800</xdr:rowOff>
    </xdr:from>
    <xdr:to>
      <xdr:col>7</xdr:col>
      <xdr:colOff>31750</xdr:colOff>
      <xdr:row>21</xdr:row>
      <xdr:rowOff>177800</xdr:rowOff>
    </xdr:to>
    <xdr:sp macro="" textlink="">
      <xdr:nvSpPr>
        <xdr:cNvPr id="26" name="Rectangle 25">
          <a:extLst>
            <a:ext uri="{FF2B5EF4-FFF2-40B4-BE49-F238E27FC236}">
              <a16:creationId xmlns:a16="http://schemas.microsoft.com/office/drawing/2014/main" id="{D0DD0B6B-7527-4C5E-8676-EA13C8B674E8}"/>
            </a:ext>
          </a:extLst>
        </xdr:cNvPr>
        <xdr:cNvSpPr/>
      </xdr:nvSpPr>
      <xdr:spPr>
        <a:xfrm>
          <a:off x="2552700" y="3549650"/>
          <a:ext cx="1746250" cy="49530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b="1">
              <a:solidFill>
                <a:srgbClr val="FF0000"/>
              </a:solidFill>
            </a:rPr>
            <a:t>                            total amount          </a:t>
          </a:r>
          <a:endParaRPr lang="en-IN" sz="1000" b="0" u="sng">
            <a:solidFill>
              <a:srgbClr val="FF0000"/>
            </a:solidFill>
            <a:latin typeface="Aptos" panose="020B0004020202020204" pitchFamily="34" charset="0"/>
          </a:endParaRPr>
        </a:p>
      </xdr:txBody>
    </xdr:sp>
    <xdr:clientData/>
  </xdr:twoCellAnchor>
  <xdr:twoCellAnchor editAs="oneCell">
    <xdr:from>
      <xdr:col>4</xdr:col>
      <xdr:colOff>438150</xdr:colOff>
      <xdr:row>19</xdr:row>
      <xdr:rowOff>120650</xdr:rowOff>
    </xdr:from>
    <xdr:to>
      <xdr:col>5</xdr:col>
      <xdr:colOff>184150</xdr:colOff>
      <xdr:row>21</xdr:row>
      <xdr:rowOff>63500</xdr:rowOff>
    </xdr:to>
    <xdr:pic>
      <xdr:nvPicPr>
        <xdr:cNvPr id="33" name="Graphic 32" descr="Money with solid fill">
          <a:extLst>
            <a:ext uri="{FF2B5EF4-FFF2-40B4-BE49-F238E27FC236}">
              <a16:creationId xmlns:a16="http://schemas.microsoft.com/office/drawing/2014/main" id="{E3C7A825-438A-71C7-AA8C-AAADE1252E5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76550" y="3619500"/>
          <a:ext cx="355600" cy="311150"/>
        </a:xfrm>
        <a:prstGeom prst="rect">
          <a:avLst/>
        </a:prstGeom>
      </xdr:spPr>
    </xdr:pic>
    <xdr:clientData/>
  </xdr:twoCellAnchor>
  <xdr:twoCellAnchor>
    <xdr:from>
      <xdr:col>5</xdr:col>
      <xdr:colOff>387350</xdr:colOff>
      <xdr:row>25</xdr:row>
      <xdr:rowOff>88900</xdr:rowOff>
    </xdr:from>
    <xdr:to>
      <xdr:col>7</xdr:col>
      <xdr:colOff>412750</xdr:colOff>
      <xdr:row>26</xdr:row>
      <xdr:rowOff>158750</xdr:rowOff>
    </xdr:to>
    <xdr:sp macro="" textlink="">
      <xdr:nvSpPr>
        <xdr:cNvPr id="34" name="Rectangle: Rounded Corners 33">
          <a:extLst>
            <a:ext uri="{FF2B5EF4-FFF2-40B4-BE49-F238E27FC236}">
              <a16:creationId xmlns:a16="http://schemas.microsoft.com/office/drawing/2014/main" id="{1E3078DB-CC00-BD10-BC20-C591BAC4E863}"/>
            </a:ext>
          </a:extLst>
        </xdr:cNvPr>
        <xdr:cNvSpPr/>
      </xdr:nvSpPr>
      <xdr:spPr>
        <a:xfrm>
          <a:off x="3435350" y="4692650"/>
          <a:ext cx="1244600" cy="254000"/>
        </a:xfrm>
        <a:prstGeom prst="round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2">
                  <a:lumMod val="10000"/>
                </a:schemeClr>
              </a:solidFill>
            </a:rPr>
            <a:t>sales of products </a:t>
          </a:r>
        </a:p>
      </xdr:txBody>
    </xdr:sp>
    <xdr:clientData/>
  </xdr:twoCellAnchor>
  <xdr:twoCellAnchor>
    <xdr:from>
      <xdr:col>14</xdr:col>
      <xdr:colOff>260350</xdr:colOff>
      <xdr:row>24</xdr:row>
      <xdr:rowOff>171450</xdr:rowOff>
    </xdr:from>
    <xdr:to>
      <xdr:col>16</xdr:col>
      <xdr:colOff>209550</xdr:colOff>
      <xdr:row>26</xdr:row>
      <xdr:rowOff>95250</xdr:rowOff>
    </xdr:to>
    <xdr:sp macro="" textlink="">
      <xdr:nvSpPr>
        <xdr:cNvPr id="35" name="Rectangle: Rounded Corners 34">
          <a:extLst>
            <a:ext uri="{FF2B5EF4-FFF2-40B4-BE49-F238E27FC236}">
              <a16:creationId xmlns:a16="http://schemas.microsoft.com/office/drawing/2014/main" id="{E31DD0B0-CE1C-4985-A4C5-2A8CB2FD3F67}"/>
            </a:ext>
          </a:extLst>
        </xdr:cNvPr>
        <xdr:cNvSpPr/>
      </xdr:nvSpPr>
      <xdr:spPr>
        <a:xfrm>
          <a:off x="8794750" y="4591050"/>
          <a:ext cx="1168400" cy="292100"/>
        </a:xfrm>
        <a:prstGeom prst="roundRect">
          <a:avLst>
            <a:gd name="adj" fmla="val 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sales by places</a:t>
          </a:r>
        </a:p>
      </xdr:txBody>
    </xdr:sp>
    <xdr:clientData/>
  </xdr:twoCellAnchor>
  <xdr:twoCellAnchor>
    <xdr:from>
      <xdr:col>14</xdr:col>
      <xdr:colOff>330200</xdr:colOff>
      <xdr:row>15</xdr:row>
      <xdr:rowOff>107950</xdr:rowOff>
    </xdr:from>
    <xdr:to>
      <xdr:col>16</xdr:col>
      <xdr:colOff>279400</xdr:colOff>
      <xdr:row>16</xdr:row>
      <xdr:rowOff>146050</xdr:rowOff>
    </xdr:to>
    <xdr:sp macro="" textlink="">
      <xdr:nvSpPr>
        <xdr:cNvPr id="36" name="Rectangle: Rounded Corners 35">
          <a:extLst>
            <a:ext uri="{FF2B5EF4-FFF2-40B4-BE49-F238E27FC236}">
              <a16:creationId xmlns:a16="http://schemas.microsoft.com/office/drawing/2014/main" id="{FCC228AA-992C-4854-9F5B-ED0276A0BF4F}"/>
            </a:ext>
          </a:extLst>
        </xdr:cNvPr>
        <xdr:cNvSpPr/>
      </xdr:nvSpPr>
      <xdr:spPr>
        <a:xfrm>
          <a:off x="8864600" y="2870200"/>
          <a:ext cx="1168400" cy="222250"/>
        </a:xfrm>
        <a:prstGeom prst="roundRect">
          <a:avLst>
            <a:gd name="adj" fmla="val 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2">
                  <a:lumMod val="10000"/>
                </a:schemeClr>
              </a:solidFill>
            </a:rPr>
            <a:t>sales</a:t>
          </a:r>
          <a:r>
            <a:rPr lang="en-IN" sz="1100" b="1" baseline="0">
              <a:solidFill>
                <a:schemeClr val="bg2">
                  <a:lumMod val="10000"/>
                </a:schemeClr>
              </a:solidFill>
            </a:rPr>
            <a:t> by months</a:t>
          </a:r>
          <a:endParaRPr lang="en-IN" sz="1100" b="1">
            <a:solidFill>
              <a:schemeClr val="bg2">
                <a:lumMod val="10000"/>
              </a:schemeClr>
            </a:solidFill>
          </a:endParaRPr>
        </a:p>
      </xdr:txBody>
    </xdr:sp>
    <xdr:clientData/>
  </xdr:twoCellAnchor>
  <xdr:twoCellAnchor>
    <xdr:from>
      <xdr:col>11</xdr:col>
      <xdr:colOff>469900</xdr:colOff>
      <xdr:row>16</xdr:row>
      <xdr:rowOff>158750</xdr:rowOff>
    </xdr:from>
    <xdr:to>
      <xdr:col>18</xdr:col>
      <xdr:colOff>552450</xdr:colOff>
      <xdr:row>23</xdr:row>
      <xdr:rowOff>101600</xdr:rowOff>
    </xdr:to>
    <xdr:graphicFrame macro="">
      <xdr:nvGraphicFramePr>
        <xdr:cNvPr id="38" name="Chart 37">
          <a:extLst>
            <a:ext uri="{FF2B5EF4-FFF2-40B4-BE49-F238E27FC236}">
              <a16:creationId xmlns:a16="http://schemas.microsoft.com/office/drawing/2014/main" id="{2B44C947-FAE1-4FB9-ABD3-739996B9B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438150</xdr:colOff>
      <xdr:row>26</xdr:row>
      <xdr:rowOff>177800</xdr:rowOff>
    </xdr:from>
    <xdr:to>
      <xdr:col>18</xdr:col>
      <xdr:colOff>546100</xdr:colOff>
      <xdr:row>38</xdr:row>
      <xdr:rowOff>19050</xdr:rowOff>
    </xdr:to>
    <xdr:graphicFrame macro="">
      <xdr:nvGraphicFramePr>
        <xdr:cNvPr id="39" name="Chart 38">
          <a:extLst>
            <a:ext uri="{FF2B5EF4-FFF2-40B4-BE49-F238E27FC236}">
              <a16:creationId xmlns:a16="http://schemas.microsoft.com/office/drawing/2014/main" id="{0D9FCBAC-0A91-4703-82EC-1D11A45F1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330200</xdr:colOff>
      <xdr:row>27</xdr:row>
      <xdr:rowOff>6350</xdr:rowOff>
    </xdr:from>
    <xdr:to>
      <xdr:col>10</xdr:col>
      <xdr:colOff>342900</xdr:colOff>
      <xdr:row>38</xdr:row>
      <xdr:rowOff>31750</xdr:rowOff>
    </xdr:to>
    <xdr:graphicFrame macro="">
      <xdr:nvGraphicFramePr>
        <xdr:cNvPr id="40" name="Chart 39">
          <a:extLst>
            <a:ext uri="{FF2B5EF4-FFF2-40B4-BE49-F238E27FC236}">
              <a16:creationId xmlns:a16="http://schemas.microsoft.com/office/drawing/2014/main" id="{61698254-9F68-4CEA-92EB-852560CAA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273050</xdr:colOff>
      <xdr:row>20</xdr:row>
      <xdr:rowOff>95250</xdr:rowOff>
    </xdr:from>
    <xdr:to>
      <xdr:col>7</xdr:col>
      <xdr:colOff>19050</xdr:colOff>
      <xdr:row>21</xdr:row>
      <xdr:rowOff>133350</xdr:rowOff>
    </xdr:to>
    <xdr:sp macro="" textlink="'pivot table'!Q15">
      <xdr:nvSpPr>
        <xdr:cNvPr id="42" name="Rectangle 41">
          <a:extLst>
            <a:ext uri="{FF2B5EF4-FFF2-40B4-BE49-F238E27FC236}">
              <a16:creationId xmlns:a16="http://schemas.microsoft.com/office/drawing/2014/main" id="{FB10CF47-1C2F-43FC-AE1C-C4136F0F87C6}"/>
            </a:ext>
          </a:extLst>
        </xdr:cNvPr>
        <xdr:cNvSpPr/>
      </xdr:nvSpPr>
      <xdr:spPr>
        <a:xfrm>
          <a:off x="3321050" y="3778250"/>
          <a:ext cx="965200" cy="222250"/>
        </a:xfrm>
        <a:prstGeom prst="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E6B297-2C79-4DFE-A76E-1BBF8FD96CC3}" type="TxLink">
            <a:rPr lang="en-US" sz="1100" b="0" i="0" u="none" strike="noStrike">
              <a:solidFill>
                <a:srgbClr val="000000"/>
              </a:solidFill>
              <a:latin typeface="Aptos Narrow"/>
            </a:rPr>
            <a:t> 11,87,31,893 </a:t>
          </a:fld>
          <a:endParaRPr lang="en-US"/>
        </a:p>
      </xdr:txBody>
    </xdr:sp>
    <xdr:clientData/>
  </xdr:twoCellAnchor>
  <xdr:twoCellAnchor>
    <xdr:from>
      <xdr:col>8</xdr:col>
      <xdr:colOff>533400</xdr:colOff>
      <xdr:row>21</xdr:row>
      <xdr:rowOff>12700</xdr:rowOff>
    </xdr:from>
    <xdr:to>
      <xdr:col>9</xdr:col>
      <xdr:colOff>539750</xdr:colOff>
      <xdr:row>22</xdr:row>
      <xdr:rowOff>101600</xdr:rowOff>
    </xdr:to>
    <xdr:sp macro="" textlink="'pivot table'!Q19">
      <xdr:nvSpPr>
        <xdr:cNvPr id="43" name="Rectangle: Rounded Corners 42">
          <a:extLst>
            <a:ext uri="{FF2B5EF4-FFF2-40B4-BE49-F238E27FC236}">
              <a16:creationId xmlns:a16="http://schemas.microsoft.com/office/drawing/2014/main" id="{3E2BC0B1-F345-46D9-BBA5-60B904E8F6DB}"/>
            </a:ext>
          </a:extLst>
        </xdr:cNvPr>
        <xdr:cNvSpPr/>
      </xdr:nvSpPr>
      <xdr:spPr>
        <a:xfrm>
          <a:off x="5816600" y="3879850"/>
          <a:ext cx="666750" cy="273050"/>
        </a:xfrm>
        <a:prstGeom prst="roundRect">
          <a:avLst>
            <a:gd name="adj" fmla="val 0"/>
          </a:avLst>
        </a:prstGeom>
        <a:solidFill>
          <a:schemeClr val="accent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907576-38F8-4EEA-B12C-637853193336}" type="TxLink">
            <a:rPr lang="en-US" sz="1100" b="0" i="0" u="none" strike="noStrike">
              <a:solidFill>
                <a:srgbClr val="000000"/>
              </a:solidFill>
              <a:latin typeface="Aptos Narrow"/>
            </a:rPr>
            <a:t>278</a:t>
          </a:fld>
          <a:endParaRPr lang="en-IN" sz="1100" b="1" u="sng">
            <a:solidFill>
              <a:srgbClr val="FF0000"/>
            </a:solidFill>
          </a:endParaRPr>
        </a:p>
      </xdr:txBody>
    </xdr:sp>
    <xdr:clientData/>
  </xdr:twoCellAnchor>
  <xdr:twoCellAnchor editAs="oneCell">
    <xdr:from>
      <xdr:col>7</xdr:col>
      <xdr:colOff>654050</xdr:colOff>
      <xdr:row>20</xdr:row>
      <xdr:rowOff>127000</xdr:rowOff>
    </xdr:from>
    <xdr:to>
      <xdr:col>8</xdr:col>
      <xdr:colOff>508000</xdr:colOff>
      <xdr:row>23</xdr:row>
      <xdr:rowOff>82550</xdr:rowOff>
    </xdr:to>
    <xdr:pic>
      <xdr:nvPicPr>
        <xdr:cNvPr id="45" name="Graphic 44" descr="Business Growth with solid fill">
          <a:extLst>
            <a:ext uri="{FF2B5EF4-FFF2-40B4-BE49-F238E27FC236}">
              <a16:creationId xmlns:a16="http://schemas.microsoft.com/office/drawing/2014/main" id="{D205E8A5-79D0-E124-F6C9-59BB16775D6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276850" y="3810000"/>
          <a:ext cx="508000" cy="508000"/>
        </a:xfrm>
        <a:prstGeom prst="rect">
          <a:avLst/>
        </a:prstGeom>
      </xdr:spPr>
    </xdr:pic>
    <xdr:clientData/>
  </xdr:twoCellAnchor>
  <xdr:twoCellAnchor>
    <xdr:from>
      <xdr:col>8</xdr:col>
      <xdr:colOff>25400</xdr:colOff>
      <xdr:row>18</xdr:row>
      <xdr:rowOff>177800</xdr:rowOff>
    </xdr:from>
    <xdr:to>
      <xdr:col>9</xdr:col>
      <xdr:colOff>546100</xdr:colOff>
      <xdr:row>20</xdr:row>
      <xdr:rowOff>127000</xdr:rowOff>
    </xdr:to>
    <xdr:sp macro="" textlink="">
      <xdr:nvSpPr>
        <xdr:cNvPr id="47" name="Rectangle: Rounded Corners 46">
          <a:extLst>
            <a:ext uri="{FF2B5EF4-FFF2-40B4-BE49-F238E27FC236}">
              <a16:creationId xmlns:a16="http://schemas.microsoft.com/office/drawing/2014/main" id="{D736B57F-9E8C-F77B-D091-5455311249AB}"/>
            </a:ext>
          </a:extLst>
        </xdr:cNvPr>
        <xdr:cNvSpPr/>
      </xdr:nvSpPr>
      <xdr:spPr>
        <a:xfrm>
          <a:off x="5308600" y="3492500"/>
          <a:ext cx="1181100" cy="31750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total sales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533400</xdr:colOff>
      <xdr:row>0</xdr:row>
      <xdr:rowOff>0</xdr:rowOff>
    </xdr:from>
    <xdr:to>
      <xdr:col>52</xdr:col>
      <xdr:colOff>292100</xdr:colOff>
      <xdr:row>133</xdr:row>
      <xdr:rowOff>177800</xdr:rowOff>
    </xdr:to>
    <xdr:sp macro="" textlink="">
      <xdr:nvSpPr>
        <xdr:cNvPr id="2" name="Rectangle: Rounded Corners 1">
          <a:extLst>
            <a:ext uri="{FF2B5EF4-FFF2-40B4-BE49-F238E27FC236}">
              <a16:creationId xmlns:a16="http://schemas.microsoft.com/office/drawing/2014/main" id="{C81E32AD-CCAC-4175-BE44-ECBC31EEFE93}"/>
            </a:ext>
          </a:extLst>
        </xdr:cNvPr>
        <xdr:cNvSpPr/>
      </xdr:nvSpPr>
      <xdr:spPr>
        <a:xfrm>
          <a:off x="1752600" y="0"/>
          <a:ext cx="30238700" cy="24669750"/>
        </a:xfrm>
        <a:prstGeom prst="roundRect">
          <a:avLst>
            <a:gd name="adj" fmla="val 0"/>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127000</xdr:colOff>
      <xdr:row>9</xdr:row>
      <xdr:rowOff>57149</xdr:rowOff>
    </xdr:from>
    <xdr:to>
      <xdr:col>18</xdr:col>
      <xdr:colOff>120650</xdr:colOff>
      <xdr:row>13</xdr:row>
      <xdr:rowOff>38100</xdr:rowOff>
    </xdr:to>
    <xdr:pic>
      <xdr:nvPicPr>
        <xdr:cNvPr id="3" name="Picture 2">
          <a:extLst>
            <a:ext uri="{FF2B5EF4-FFF2-40B4-BE49-F238E27FC236}">
              <a16:creationId xmlns:a16="http://schemas.microsoft.com/office/drawing/2014/main" id="{19E149C6-0FA4-4BD8-9A07-D516D46B889C}"/>
            </a:ext>
          </a:extLst>
        </xdr:cNvPr>
        <xdr:cNvPicPr>
          <a:picLocks noChangeAspect="1"/>
        </xdr:cNvPicPr>
      </xdr:nvPicPr>
      <xdr:blipFill>
        <a:blip xmlns:r="http://schemas.openxmlformats.org/officeDocument/2006/relationships" r:embed="rId1"/>
        <a:stretch>
          <a:fillRect/>
        </a:stretch>
      </xdr:blipFill>
      <xdr:spPr>
        <a:xfrm>
          <a:off x="1955800" y="1714499"/>
          <a:ext cx="9137650" cy="717551"/>
        </a:xfrm>
        <a:prstGeom prst="rect">
          <a:avLst/>
        </a:prstGeom>
      </xdr:spPr>
    </xdr:pic>
    <xdr:clientData/>
  </xdr:twoCellAnchor>
  <xdr:twoCellAnchor editAs="oneCell">
    <xdr:from>
      <xdr:col>3</xdr:col>
      <xdr:colOff>133350</xdr:colOff>
      <xdr:row>0</xdr:row>
      <xdr:rowOff>0</xdr:rowOff>
    </xdr:from>
    <xdr:to>
      <xdr:col>12</xdr:col>
      <xdr:colOff>120650</xdr:colOff>
      <xdr:row>7</xdr:row>
      <xdr:rowOff>133350</xdr:rowOff>
    </xdr:to>
    <mc:AlternateContent xmlns:mc="http://schemas.openxmlformats.org/markup-compatibility/2006">
      <mc:Choice xmlns:tsle="http://schemas.microsoft.com/office/drawing/2012/timeslicer" Requires="tsle">
        <xdr:graphicFrame macro="">
          <xdr:nvGraphicFramePr>
            <xdr:cNvPr id="4" name="Date 2">
              <a:extLst>
                <a:ext uri="{FF2B5EF4-FFF2-40B4-BE49-F238E27FC236}">
                  <a16:creationId xmlns:a16="http://schemas.microsoft.com/office/drawing/2014/main" id="{D55BD6EA-E073-45EC-8801-4554951E08B4}"/>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962150" y="0"/>
              <a:ext cx="5473700" cy="1422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177800</xdr:colOff>
      <xdr:row>0</xdr:row>
      <xdr:rowOff>6350</xdr:rowOff>
    </xdr:from>
    <xdr:to>
      <xdr:col>19</xdr:col>
      <xdr:colOff>44450</xdr:colOff>
      <xdr:row>7</xdr:row>
      <xdr:rowOff>133350</xdr:rowOff>
    </xdr:to>
    <mc:AlternateContent xmlns:mc="http://schemas.openxmlformats.org/markup-compatibility/2006">
      <mc:Choice xmlns:a14="http://schemas.microsoft.com/office/drawing/2010/main" Requires="a14">
        <xdr:graphicFrame macro="">
          <xdr:nvGraphicFramePr>
            <xdr:cNvPr id="5" name="Place 2">
              <a:extLst>
                <a:ext uri="{FF2B5EF4-FFF2-40B4-BE49-F238E27FC236}">
                  <a16:creationId xmlns:a16="http://schemas.microsoft.com/office/drawing/2014/main" id="{0F00E6DC-F080-450E-8985-134FC5A7533E}"/>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dr:sp macro="" textlink="">
          <xdr:nvSpPr>
            <xdr:cNvPr id="0" name=""/>
            <xdr:cNvSpPr>
              <a:spLocks noTextEdit="1"/>
            </xdr:cNvSpPr>
          </xdr:nvSpPr>
          <xdr:spPr>
            <a:xfrm>
              <a:off x="7493000" y="6350"/>
              <a:ext cx="413385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9</xdr:row>
      <xdr:rowOff>57150</xdr:rowOff>
    </xdr:from>
    <xdr:to>
      <xdr:col>19</xdr:col>
      <xdr:colOff>107950</xdr:colOff>
      <xdr:row>13</xdr:row>
      <xdr:rowOff>76200</xdr:rowOff>
    </xdr:to>
    <mc:AlternateContent xmlns:mc="http://schemas.openxmlformats.org/markup-compatibility/2006">
      <mc:Choice xmlns:a14="http://schemas.microsoft.com/office/drawing/2010/main" Requires="a14">
        <xdr:graphicFrame macro="">
          <xdr:nvGraphicFramePr>
            <xdr:cNvPr id="6" name="Products 2">
              <a:extLst>
                <a:ext uri="{FF2B5EF4-FFF2-40B4-BE49-F238E27FC236}">
                  <a16:creationId xmlns:a16="http://schemas.microsoft.com/office/drawing/2014/main" id="{15797803-17B6-4F8A-9D8A-DDEB228CC306}"/>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dr:sp macro="" textlink="">
          <xdr:nvSpPr>
            <xdr:cNvPr id="0" name=""/>
            <xdr:cNvSpPr>
              <a:spLocks noTextEdit="1"/>
            </xdr:cNvSpPr>
          </xdr:nvSpPr>
          <xdr:spPr>
            <a:xfrm>
              <a:off x="1924050" y="1714500"/>
              <a:ext cx="9766300" cy="75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xdr:colOff>
      <xdr:row>13</xdr:row>
      <xdr:rowOff>127000</xdr:rowOff>
    </xdr:from>
    <xdr:to>
      <xdr:col>4</xdr:col>
      <xdr:colOff>355600</xdr:colOff>
      <xdr:row>18</xdr:row>
      <xdr:rowOff>120650</xdr:rowOff>
    </xdr:to>
    <xdr:pic>
      <xdr:nvPicPr>
        <xdr:cNvPr id="7" name="Graphic 6" descr="Bar chart with solid fill">
          <a:extLst>
            <a:ext uri="{FF2B5EF4-FFF2-40B4-BE49-F238E27FC236}">
              <a16:creationId xmlns:a16="http://schemas.microsoft.com/office/drawing/2014/main" id="{26C4E5C9-DE96-4E5D-A3C3-19E717BD6E4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79600" y="2520950"/>
          <a:ext cx="914400" cy="914400"/>
        </a:xfrm>
        <a:prstGeom prst="rect">
          <a:avLst/>
        </a:prstGeom>
      </xdr:spPr>
    </xdr:pic>
    <xdr:clientData/>
  </xdr:twoCellAnchor>
  <xdr:twoCellAnchor>
    <xdr:from>
      <xdr:col>4</xdr:col>
      <xdr:colOff>336550</xdr:colOff>
      <xdr:row>16</xdr:row>
      <xdr:rowOff>0</xdr:rowOff>
    </xdr:from>
    <xdr:to>
      <xdr:col>6</xdr:col>
      <xdr:colOff>107950</xdr:colOff>
      <xdr:row>17</xdr:row>
      <xdr:rowOff>139700</xdr:rowOff>
    </xdr:to>
    <xdr:sp macro="" textlink="">
      <xdr:nvSpPr>
        <xdr:cNvPr id="8" name="Rectangle 7">
          <a:extLst>
            <a:ext uri="{FF2B5EF4-FFF2-40B4-BE49-F238E27FC236}">
              <a16:creationId xmlns:a16="http://schemas.microsoft.com/office/drawing/2014/main" id="{1F325F76-1DE2-42CB-B059-7C49D05BF88B}"/>
            </a:ext>
          </a:extLst>
        </xdr:cNvPr>
        <xdr:cNvSpPr/>
      </xdr:nvSpPr>
      <xdr:spPr>
        <a:xfrm>
          <a:off x="2774950" y="2946400"/>
          <a:ext cx="990600" cy="32385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3</xdr:col>
      <xdr:colOff>152400</xdr:colOff>
      <xdr:row>18</xdr:row>
      <xdr:rowOff>69850</xdr:rowOff>
    </xdr:from>
    <xdr:to>
      <xdr:col>10</xdr:col>
      <xdr:colOff>184150</xdr:colOff>
      <xdr:row>31</xdr:row>
      <xdr:rowOff>101600</xdr:rowOff>
    </xdr:to>
    <xdr:sp macro="" textlink="">
      <xdr:nvSpPr>
        <xdr:cNvPr id="12" name="Rectangle: Rounded Corners 11">
          <a:extLst>
            <a:ext uri="{FF2B5EF4-FFF2-40B4-BE49-F238E27FC236}">
              <a16:creationId xmlns:a16="http://schemas.microsoft.com/office/drawing/2014/main" id="{EAC969C8-B14D-4AD0-A886-C1D0C631D032}"/>
            </a:ext>
          </a:extLst>
        </xdr:cNvPr>
        <xdr:cNvSpPr/>
      </xdr:nvSpPr>
      <xdr:spPr>
        <a:xfrm>
          <a:off x="1981200" y="3384550"/>
          <a:ext cx="4298950" cy="24257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260350</xdr:colOff>
      <xdr:row>14</xdr:row>
      <xdr:rowOff>95250</xdr:rowOff>
    </xdr:from>
    <xdr:to>
      <xdr:col>18</xdr:col>
      <xdr:colOff>565150</xdr:colOff>
      <xdr:row>22</xdr:row>
      <xdr:rowOff>82550</xdr:rowOff>
    </xdr:to>
    <xdr:sp macro="" textlink="">
      <xdr:nvSpPr>
        <xdr:cNvPr id="13" name="Rectangle: Rounded Corners 12">
          <a:extLst>
            <a:ext uri="{FF2B5EF4-FFF2-40B4-BE49-F238E27FC236}">
              <a16:creationId xmlns:a16="http://schemas.microsoft.com/office/drawing/2014/main" id="{6C7A18CF-DE7D-4E12-8566-17DE99F36AAF}"/>
            </a:ext>
          </a:extLst>
        </xdr:cNvPr>
        <xdr:cNvSpPr/>
      </xdr:nvSpPr>
      <xdr:spPr>
        <a:xfrm>
          <a:off x="6965950" y="2673350"/>
          <a:ext cx="4572000" cy="14605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Top 3 selling products</a:t>
          </a:r>
        </a:p>
      </xdr:txBody>
    </xdr:sp>
    <xdr:clientData/>
  </xdr:twoCellAnchor>
  <xdr:twoCellAnchor>
    <xdr:from>
      <xdr:col>11</xdr:col>
      <xdr:colOff>241300</xdr:colOff>
      <xdr:row>22</xdr:row>
      <xdr:rowOff>146050</xdr:rowOff>
    </xdr:from>
    <xdr:to>
      <xdr:col>18</xdr:col>
      <xdr:colOff>425450</xdr:colOff>
      <xdr:row>31</xdr:row>
      <xdr:rowOff>76200</xdr:rowOff>
    </xdr:to>
    <xdr:sp macro="" textlink="">
      <xdr:nvSpPr>
        <xdr:cNvPr id="14" name="Rectangle: Rounded Corners 13">
          <a:extLst>
            <a:ext uri="{FF2B5EF4-FFF2-40B4-BE49-F238E27FC236}">
              <a16:creationId xmlns:a16="http://schemas.microsoft.com/office/drawing/2014/main" id="{4FC87CB7-4429-4019-8416-623EC7C751B5}"/>
            </a:ext>
          </a:extLst>
        </xdr:cNvPr>
        <xdr:cNvSpPr/>
      </xdr:nvSpPr>
      <xdr:spPr>
        <a:xfrm>
          <a:off x="6946900" y="4197350"/>
          <a:ext cx="4451350" cy="15875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158750</xdr:colOff>
      <xdr:row>15</xdr:row>
      <xdr:rowOff>152400</xdr:rowOff>
    </xdr:from>
    <xdr:to>
      <xdr:col>2</xdr:col>
      <xdr:colOff>298450</xdr:colOff>
      <xdr:row>18</xdr:row>
      <xdr:rowOff>63500</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0E206FBB-DA56-4597-BF52-406CFEAC597E}"/>
            </a:ext>
          </a:extLst>
        </xdr:cNvPr>
        <xdr:cNvSpPr/>
      </xdr:nvSpPr>
      <xdr:spPr>
        <a:xfrm>
          <a:off x="158750" y="2914650"/>
          <a:ext cx="1358900" cy="46355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rial Black" panose="020B0A04020102020204" pitchFamily="34" charset="0"/>
            </a:rPr>
            <a:t>DASH BOARD</a:t>
          </a:r>
        </a:p>
      </xdr:txBody>
    </xdr:sp>
    <xdr:clientData/>
  </xdr:twoCellAnchor>
  <xdr:twoCellAnchor>
    <xdr:from>
      <xdr:col>0</xdr:col>
      <xdr:colOff>222250</xdr:colOff>
      <xdr:row>19</xdr:row>
      <xdr:rowOff>6350</xdr:rowOff>
    </xdr:from>
    <xdr:to>
      <xdr:col>2</xdr:col>
      <xdr:colOff>323850</xdr:colOff>
      <xdr:row>21</xdr:row>
      <xdr:rowOff>139700</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F31F102F-916A-4AA6-B3B9-008E00E3CDAB}"/>
            </a:ext>
          </a:extLst>
        </xdr:cNvPr>
        <xdr:cNvSpPr/>
      </xdr:nvSpPr>
      <xdr:spPr>
        <a:xfrm>
          <a:off x="222250" y="3505200"/>
          <a:ext cx="1320800" cy="501650"/>
        </a:xfrm>
        <a:prstGeom prst="roundRect">
          <a:avLst/>
        </a:prstGeom>
        <a:solidFill>
          <a:schemeClr val="bg2"/>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solidFill>
              <a:latin typeface="Arial Black" panose="020B0A04020102020204" pitchFamily="34" charset="0"/>
            </a:rPr>
            <a:t>PRODUCTS</a:t>
          </a:r>
        </a:p>
      </xdr:txBody>
    </xdr:sp>
    <xdr:clientData/>
  </xdr:twoCellAnchor>
  <xdr:twoCellAnchor>
    <xdr:from>
      <xdr:col>0</xdr:col>
      <xdr:colOff>196850</xdr:colOff>
      <xdr:row>22</xdr:row>
      <xdr:rowOff>114300</xdr:rowOff>
    </xdr:from>
    <xdr:to>
      <xdr:col>2</xdr:col>
      <xdr:colOff>298450</xdr:colOff>
      <xdr:row>25</xdr:row>
      <xdr:rowOff>63500</xdr:rowOff>
    </xdr:to>
    <xdr:sp macro="" textlink="">
      <xdr:nvSpPr>
        <xdr:cNvPr id="17" name="Rectangle: Rounded Corners 16">
          <a:hlinkClick xmlns:r="http://schemas.openxmlformats.org/officeDocument/2006/relationships" r:id="rId6"/>
          <a:extLst>
            <a:ext uri="{FF2B5EF4-FFF2-40B4-BE49-F238E27FC236}">
              <a16:creationId xmlns:a16="http://schemas.microsoft.com/office/drawing/2014/main" id="{C098143C-2B59-4191-A518-3D96EF71A1F9}"/>
            </a:ext>
          </a:extLst>
        </xdr:cNvPr>
        <xdr:cNvSpPr/>
      </xdr:nvSpPr>
      <xdr:spPr>
        <a:xfrm>
          <a:off x="196850" y="4165600"/>
          <a:ext cx="1320800" cy="501650"/>
        </a:xfrm>
        <a:prstGeom prst="roundRect">
          <a:avLst>
            <a:gd name="adj" fmla="val 1835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SALESMAN</a:t>
          </a:r>
        </a:p>
      </xdr:txBody>
    </xdr:sp>
    <xdr:clientData/>
  </xdr:twoCellAnchor>
  <xdr:twoCellAnchor>
    <xdr:from>
      <xdr:col>0</xdr:col>
      <xdr:colOff>190500</xdr:colOff>
      <xdr:row>26</xdr:row>
      <xdr:rowOff>50800</xdr:rowOff>
    </xdr:from>
    <xdr:to>
      <xdr:col>2</xdr:col>
      <xdr:colOff>304800</xdr:colOff>
      <xdr:row>29</xdr:row>
      <xdr:rowOff>0</xdr:rowOff>
    </xdr:to>
    <xdr:sp macro="" textlink="">
      <xdr:nvSpPr>
        <xdr:cNvPr id="18" name="Rectangle: Rounded Corners 17">
          <a:extLst>
            <a:ext uri="{FF2B5EF4-FFF2-40B4-BE49-F238E27FC236}">
              <a16:creationId xmlns:a16="http://schemas.microsoft.com/office/drawing/2014/main" id="{1B4AF64D-BF02-40B2-B1F9-A7AA3B76E11F}"/>
            </a:ext>
          </a:extLst>
        </xdr:cNvPr>
        <xdr:cNvSpPr/>
      </xdr:nvSpPr>
      <xdr:spPr>
        <a:xfrm>
          <a:off x="190500" y="4838700"/>
          <a:ext cx="1333500" cy="501650"/>
        </a:xfrm>
        <a:prstGeom prst="roundRect">
          <a:avLst>
            <a:gd name="adj" fmla="val 1835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ABOUT</a:t>
          </a:r>
        </a:p>
      </xdr:txBody>
    </xdr:sp>
    <xdr:clientData/>
  </xdr:twoCellAnchor>
  <xdr:twoCellAnchor>
    <xdr:from>
      <xdr:col>3</xdr:col>
      <xdr:colOff>228600</xdr:colOff>
      <xdr:row>19</xdr:row>
      <xdr:rowOff>6350</xdr:rowOff>
    </xdr:from>
    <xdr:to>
      <xdr:col>8</xdr:col>
      <xdr:colOff>69850</xdr:colOff>
      <xdr:row>20</xdr:row>
      <xdr:rowOff>171450</xdr:rowOff>
    </xdr:to>
    <xdr:sp macro="" textlink="">
      <xdr:nvSpPr>
        <xdr:cNvPr id="21" name="Rectangle: Rounded Corners 20">
          <a:extLst>
            <a:ext uri="{FF2B5EF4-FFF2-40B4-BE49-F238E27FC236}">
              <a16:creationId xmlns:a16="http://schemas.microsoft.com/office/drawing/2014/main" id="{C9816BA8-218B-426A-A875-A59535200F7C}"/>
            </a:ext>
          </a:extLst>
        </xdr:cNvPr>
        <xdr:cNvSpPr/>
      </xdr:nvSpPr>
      <xdr:spPr>
        <a:xfrm>
          <a:off x="2057400" y="3505200"/>
          <a:ext cx="2889250" cy="3492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solidFill>
                <a:schemeClr val="bg2">
                  <a:lumMod val="10000"/>
                </a:schemeClr>
              </a:solidFill>
              <a:latin typeface="Arial Black" panose="020B0A04020102020204" pitchFamily="34" charset="0"/>
            </a:rPr>
            <a:t>sales of products</a:t>
          </a:r>
          <a:r>
            <a:rPr lang="en-IN" sz="1100" b="0" baseline="0">
              <a:solidFill>
                <a:schemeClr val="bg2">
                  <a:lumMod val="10000"/>
                </a:schemeClr>
              </a:solidFill>
              <a:latin typeface="Arial Black" panose="020B0A04020102020204" pitchFamily="34" charset="0"/>
            </a:rPr>
            <a:t> by quantity</a:t>
          </a:r>
        </a:p>
        <a:p>
          <a:pPr algn="l"/>
          <a:r>
            <a:rPr lang="en-IN" sz="1100" b="0">
              <a:solidFill>
                <a:schemeClr val="bg2">
                  <a:lumMod val="10000"/>
                </a:schemeClr>
              </a:solidFill>
              <a:latin typeface="Arial Black" panose="020B0A04020102020204" pitchFamily="34" charset="0"/>
            </a:rPr>
            <a:t> </a:t>
          </a:r>
        </a:p>
      </xdr:txBody>
    </xdr:sp>
    <xdr:clientData/>
  </xdr:twoCellAnchor>
  <xdr:twoCellAnchor>
    <xdr:from>
      <xdr:col>11</xdr:col>
      <xdr:colOff>247650</xdr:colOff>
      <xdr:row>23</xdr:row>
      <xdr:rowOff>76200</xdr:rowOff>
    </xdr:from>
    <xdr:to>
      <xdr:col>15</xdr:col>
      <xdr:colOff>146050</xdr:colOff>
      <xdr:row>25</xdr:row>
      <xdr:rowOff>19050</xdr:rowOff>
    </xdr:to>
    <xdr:sp macro="" textlink="">
      <xdr:nvSpPr>
        <xdr:cNvPr id="22" name="Rectangle: Rounded Corners 21">
          <a:extLst>
            <a:ext uri="{FF2B5EF4-FFF2-40B4-BE49-F238E27FC236}">
              <a16:creationId xmlns:a16="http://schemas.microsoft.com/office/drawing/2014/main" id="{FE33A811-F91D-467A-8DE5-4AFA601200F5}"/>
            </a:ext>
          </a:extLst>
        </xdr:cNvPr>
        <xdr:cNvSpPr/>
      </xdr:nvSpPr>
      <xdr:spPr>
        <a:xfrm>
          <a:off x="6953250" y="4311650"/>
          <a:ext cx="2336800" cy="311150"/>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u="sng">
              <a:solidFill>
                <a:schemeClr val="tx1"/>
              </a:solidFill>
              <a:latin typeface="Arial Black" panose="020B0A04020102020204" pitchFamily="34" charset="0"/>
            </a:rPr>
            <a:t>Bottom</a:t>
          </a:r>
          <a:r>
            <a:rPr lang="en-IN" sz="1100" b="0" u="sng" baseline="0">
              <a:solidFill>
                <a:schemeClr val="tx1"/>
              </a:solidFill>
              <a:latin typeface="Arial Black" panose="020B0A04020102020204" pitchFamily="34" charset="0"/>
            </a:rPr>
            <a:t> 3 selling products</a:t>
          </a:r>
          <a:endParaRPr lang="en-IN" sz="1100" b="0" u="sng">
            <a:solidFill>
              <a:schemeClr val="tx1"/>
            </a:solidFill>
            <a:latin typeface="Arial Black" panose="020B0A04020102020204" pitchFamily="34" charset="0"/>
          </a:endParaRPr>
        </a:p>
      </xdr:txBody>
    </xdr:sp>
    <xdr:clientData/>
  </xdr:twoCellAnchor>
  <xdr:twoCellAnchor>
    <xdr:from>
      <xdr:col>11</xdr:col>
      <xdr:colOff>266700</xdr:colOff>
      <xdr:row>16</xdr:row>
      <xdr:rowOff>152400</xdr:rowOff>
    </xdr:from>
    <xdr:to>
      <xdr:col>18</xdr:col>
      <xdr:colOff>552450</xdr:colOff>
      <xdr:row>22</xdr:row>
      <xdr:rowOff>76200</xdr:rowOff>
    </xdr:to>
    <xdr:graphicFrame macro="">
      <xdr:nvGraphicFramePr>
        <xdr:cNvPr id="30" name="Chart 29">
          <a:extLst>
            <a:ext uri="{FF2B5EF4-FFF2-40B4-BE49-F238E27FC236}">
              <a16:creationId xmlns:a16="http://schemas.microsoft.com/office/drawing/2014/main" id="{F6442B65-394A-469B-8E7A-C2134BC2D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247650</xdr:colOff>
      <xdr:row>25</xdr:row>
      <xdr:rowOff>63500</xdr:rowOff>
    </xdr:from>
    <xdr:to>
      <xdr:col>18</xdr:col>
      <xdr:colOff>438150</xdr:colOff>
      <xdr:row>31</xdr:row>
      <xdr:rowOff>69850</xdr:rowOff>
    </xdr:to>
    <xdr:graphicFrame macro="">
      <xdr:nvGraphicFramePr>
        <xdr:cNvPr id="31" name="Chart 30">
          <a:extLst>
            <a:ext uri="{FF2B5EF4-FFF2-40B4-BE49-F238E27FC236}">
              <a16:creationId xmlns:a16="http://schemas.microsoft.com/office/drawing/2014/main" id="{B04218B4-C15D-4AFB-B39D-996700242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158750</xdr:colOff>
      <xdr:row>21</xdr:row>
      <xdr:rowOff>0</xdr:rowOff>
    </xdr:from>
    <xdr:to>
      <xdr:col>10</xdr:col>
      <xdr:colOff>171450</xdr:colOff>
      <xdr:row>31</xdr:row>
      <xdr:rowOff>88900</xdr:rowOff>
    </xdr:to>
    <xdr:graphicFrame macro="">
      <xdr:nvGraphicFramePr>
        <xdr:cNvPr id="32" name="Chart 31">
          <a:extLst>
            <a:ext uri="{FF2B5EF4-FFF2-40B4-BE49-F238E27FC236}">
              <a16:creationId xmlns:a16="http://schemas.microsoft.com/office/drawing/2014/main" id="{B344A471-0E31-4446-818A-992FF51DF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31750</xdr:colOff>
      <xdr:row>0</xdr:row>
      <xdr:rowOff>44450</xdr:rowOff>
    </xdr:from>
    <xdr:to>
      <xdr:col>52</xdr:col>
      <xdr:colOff>400050</xdr:colOff>
      <xdr:row>134</xdr:row>
      <xdr:rowOff>38100</xdr:rowOff>
    </xdr:to>
    <xdr:sp macro="" textlink="">
      <xdr:nvSpPr>
        <xdr:cNvPr id="2" name="Rectangle: Rounded Corners 1">
          <a:extLst>
            <a:ext uri="{FF2B5EF4-FFF2-40B4-BE49-F238E27FC236}">
              <a16:creationId xmlns:a16="http://schemas.microsoft.com/office/drawing/2014/main" id="{20718F34-9493-4E1F-9700-BD8923F9ADE6}"/>
            </a:ext>
          </a:extLst>
        </xdr:cNvPr>
        <xdr:cNvSpPr/>
      </xdr:nvSpPr>
      <xdr:spPr>
        <a:xfrm>
          <a:off x="1860550" y="44450"/>
          <a:ext cx="30238700" cy="24669750"/>
        </a:xfrm>
        <a:prstGeom prst="roundRect">
          <a:avLst>
            <a:gd name="adj" fmla="val 0"/>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127000</xdr:colOff>
      <xdr:row>9</xdr:row>
      <xdr:rowOff>57149</xdr:rowOff>
    </xdr:from>
    <xdr:to>
      <xdr:col>18</xdr:col>
      <xdr:colOff>120650</xdr:colOff>
      <xdr:row>13</xdr:row>
      <xdr:rowOff>38100</xdr:rowOff>
    </xdr:to>
    <xdr:pic>
      <xdr:nvPicPr>
        <xdr:cNvPr id="3" name="Picture 2">
          <a:extLst>
            <a:ext uri="{FF2B5EF4-FFF2-40B4-BE49-F238E27FC236}">
              <a16:creationId xmlns:a16="http://schemas.microsoft.com/office/drawing/2014/main" id="{D5DC19F1-EB0F-4821-9C32-19401A4CF10E}"/>
            </a:ext>
          </a:extLst>
        </xdr:cNvPr>
        <xdr:cNvPicPr>
          <a:picLocks noChangeAspect="1"/>
        </xdr:cNvPicPr>
      </xdr:nvPicPr>
      <xdr:blipFill>
        <a:blip xmlns:r="http://schemas.openxmlformats.org/officeDocument/2006/relationships" r:embed="rId1"/>
        <a:stretch>
          <a:fillRect/>
        </a:stretch>
      </xdr:blipFill>
      <xdr:spPr>
        <a:xfrm>
          <a:off x="1955800" y="1714499"/>
          <a:ext cx="9137650" cy="717551"/>
        </a:xfrm>
        <a:prstGeom prst="rect">
          <a:avLst/>
        </a:prstGeom>
      </xdr:spPr>
    </xdr:pic>
    <xdr:clientData/>
  </xdr:twoCellAnchor>
  <xdr:twoCellAnchor editAs="oneCell">
    <xdr:from>
      <xdr:col>3</xdr:col>
      <xdr:colOff>133350</xdr:colOff>
      <xdr:row>0</xdr:row>
      <xdr:rowOff>0</xdr:rowOff>
    </xdr:from>
    <xdr:to>
      <xdr:col>12</xdr:col>
      <xdr:colOff>120650</xdr:colOff>
      <xdr:row>7</xdr:row>
      <xdr:rowOff>133350</xdr:rowOff>
    </xdr:to>
    <mc:AlternateContent xmlns:mc="http://schemas.openxmlformats.org/markup-compatibility/2006">
      <mc:Choice xmlns:tsle="http://schemas.microsoft.com/office/drawing/2012/timeslicer" Requires="tsle">
        <xdr:graphicFrame macro="">
          <xdr:nvGraphicFramePr>
            <xdr:cNvPr id="4" name="Date 3">
              <a:extLst>
                <a:ext uri="{FF2B5EF4-FFF2-40B4-BE49-F238E27FC236}">
                  <a16:creationId xmlns:a16="http://schemas.microsoft.com/office/drawing/2014/main" id="{9115AE14-568D-4189-B5D7-46D02F669670}"/>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1962150" y="0"/>
              <a:ext cx="5473700" cy="1422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177800</xdr:colOff>
      <xdr:row>0</xdr:row>
      <xdr:rowOff>6350</xdr:rowOff>
    </xdr:from>
    <xdr:to>
      <xdr:col>19</xdr:col>
      <xdr:colOff>44450</xdr:colOff>
      <xdr:row>7</xdr:row>
      <xdr:rowOff>133350</xdr:rowOff>
    </xdr:to>
    <mc:AlternateContent xmlns:mc="http://schemas.openxmlformats.org/markup-compatibility/2006">
      <mc:Choice xmlns:a14="http://schemas.microsoft.com/office/drawing/2010/main" Requires="a14">
        <xdr:graphicFrame macro="">
          <xdr:nvGraphicFramePr>
            <xdr:cNvPr id="5" name="Place 3">
              <a:extLst>
                <a:ext uri="{FF2B5EF4-FFF2-40B4-BE49-F238E27FC236}">
                  <a16:creationId xmlns:a16="http://schemas.microsoft.com/office/drawing/2014/main" id="{D8658C33-6B22-4787-B682-56B62912BF17}"/>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dr:sp macro="" textlink="">
          <xdr:nvSpPr>
            <xdr:cNvPr id="0" name=""/>
            <xdr:cNvSpPr>
              <a:spLocks noTextEdit="1"/>
            </xdr:cNvSpPr>
          </xdr:nvSpPr>
          <xdr:spPr>
            <a:xfrm>
              <a:off x="7493000" y="6350"/>
              <a:ext cx="413385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9</xdr:row>
      <xdr:rowOff>57150</xdr:rowOff>
    </xdr:from>
    <xdr:to>
      <xdr:col>19</xdr:col>
      <xdr:colOff>107950</xdr:colOff>
      <xdr:row>13</xdr:row>
      <xdr:rowOff>76200</xdr:rowOff>
    </xdr:to>
    <mc:AlternateContent xmlns:mc="http://schemas.openxmlformats.org/markup-compatibility/2006">
      <mc:Choice xmlns:a14="http://schemas.microsoft.com/office/drawing/2010/main" Requires="a14">
        <xdr:graphicFrame macro="">
          <xdr:nvGraphicFramePr>
            <xdr:cNvPr id="6" name="Products 3">
              <a:extLst>
                <a:ext uri="{FF2B5EF4-FFF2-40B4-BE49-F238E27FC236}">
                  <a16:creationId xmlns:a16="http://schemas.microsoft.com/office/drawing/2014/main" id="{5F8DFFF7-78D0-4D17-BF72-C389B9D2CC21}"/>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dr:sp macro="" textlink="">
          <xdr:nvSpPr>
            <xdr:cNvPr id="0" name=""/>
            <xdr:cNvSpPr>
              <a:spLocks noTextEdit="1"/>
            </xdr:cNvSpPr>
          </xdr:nvSpPr>
          <xdr:spPr>
            <a:xfrm>
              <a:off x="1924050" y="1714500"/>
              <a:ext cx="9766300" cy="75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xdr:colOff>
      <xdr:row>13</xdr:row>
      <xdr:rowOff>127000</xdr:rowOff>
    </xdr:from>
    <xdr:to>
      <xdr:col>4</xdr:col>
      <xdr:colOff>355600</xdr:colOff>
      <xdr:row>18</xdr:row>
      <xdr:rowOff>120650</xdr:rowOff>
    </xdr:to>
    <xdr:pic>
      <xdr:nvPicPr>
        <xdr:cNvPr id="7" name="Graphic 6" descr="Bar chart with solid fill">
          <a:extLst>
            <a:ext uri="{FF2B5EF4-FFF2-40B4-BE49-F238E27FC236}">
              <a16:creationId xmlns:a16="http://schemas.microsoft.com/office/drawing/2014/main" id="{9665F9CB-0262-4797-8614-FB41A800B6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79600" y="2520950"/>
          <a:ext cx="914400" cy="914400"/>
        </a:xfrm>
        <a:prstGeom prst="rect">
          <a:avLst/>
        </a:prstGeom>
      </xdr:spPr>
    </xdr:pic>
    <xdr:clientData/>
  </xdr:twoCellAnchor>
  <xdr:twoCellAnchor>
    <xdr:from>
      <xdr:col>4</xdr:col>
      <xdr:colOff>336550</xdr:colOff>
      <xdr:row>16</xdr:row>
      <xdr:rowOff>0</xdr:rowOff>
    </xdr:from>
    <xdr:to>
      <xdr:col>6</xdr:col>
      <xdr:colOff>107950</xdr:colOff>
      <xdr:row>17</xdr:row>
      <xdr:rowOff>139700</xdr:rowOff>
    </xdr:to>
    <xdr:sp macro="" textlink="">
      <xdr:nvSpPr>
        <xdr:cNvPr id="8" name="Rectangle 7">
          <a:extLst>
            <a:ext uri="{FF2B5EF4-FFF2-40B4-BE49-F238E27FC236}">
              <a16:creationId xmlns:a16="http://schemas.microsoft.com/office/drawing/2014/main" id="{805C4EB4-4376-4D0F-9A61-075BB7AE9157}"/>
            </a:ext>
          </a:extLst>
        </xdr:cNvPr>
        <xdr:cNvSpPr/>
      </xdr:nvSpPr>
      <xdr:spPr>
        <a:xfrm>
          <a:off x="2774950" y="2946400"/>
          <a:ext cx="990600" cy="32385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xdr:from>
      <xdr:col>3</xdr:col>
      <xdr:colOff>146050</xdr:colOff>
      <xdr:row>18</xdr:row>
      <xdr:rowOff>177800</xdr:rowOff>
    </xdr:from>
    <xdr:to>
      <xdr:col>11</xdr:col>
      <xdr:colOff>12700</xdr:colOff>
      <xdr:row>34</xdr:row>
      <xdr:rowOff>50800</xdr:rowOff>
    </xdr:to>
    <xdr:sp macro="" textlink="">
      <xdr:nvSpPr>
        <xdr:cNvPr id="9" name="Rectangle: Rounded Corners 8">
          <a:extLst>
            <a:ext uri="{FF2B5EF4-FFF2-40B4-BE49-F238E27FC236}">
              <a16:creationId xmlns:a16="http://schemas.microsoft.com/office/drawing/2014/main" id="{790161D5-8BD8-42DF-8776-60526238F1F5}"/>
            </a:ext>
          </a:extLst>
        </xdr:cNvPr>
        <xdr:cNvSpPr/>
      </xdr:nvSpPr>
      <xdr:spPr>
        <a:xfrm>
          <a:off x="1974850" y="3492500"/>
          <a:ext cx="4743450" cy="28194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260350</xdr:colOff>
      <xdr:row>14</xdr:row>
      <xdr:rowOff>95250</xdr:rowOff>
    </xdr:from>
    <xdr:to>
      <xdr:col>18</xdr:col>
      <xdr:colOff>565150</xdr:colOff>
      <xdr:row>22</xdr:row>
      <xdr:rowOff>82550</xdr:rowOff>
    </xdr:to>
    <xdr:sp macro="" textlink="">
      <xdr:nvSpPr>
        <xdr:cNvPr id="10" name="Rectangle: Rounded Corners 9">
          <a:extLst>
            <a:ext uri="{FF2B5EF4-FFF2-40B4-BE49-F238E27FC236}">
              <a16:creationId xmlns:a16="http://schemas.microsoft.com/office/drawing/2014/main" id="{DCDC3139-3679-4EE3-98D9-249372AFB434}"/>
            </a:ext>
          </a:extLst>
        </xdr:cNvPr>
        <xdr:cNvSpPr/>
      </xdr:nvSpPr>
      <xdr:spPr>
        <a:xfrm>
          <a:off x="6965950" y="2673350"/>
          <a:ext cx="4572000" cy="14605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00" b="0" u="sng"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 Top 3 sales mans</a:t>
          </a:r>
        </a:p>
      </xdr:txBody>
    </xdr:sp>
    <xdr:clientData/>
  </xdr:twoCellAnchor>
  <xdr:twoCellAnchor>
    <xdr:from>
      <xdr:col>11</xdr:col>
      <xdr:colOff>241300</xdr:colOff>
      <xdr:row>22</xdr:row>
      <xdr:rowOff>139700</xdr:rowOff>
    </xdr:from>
    <xdr:to>
      <xdr:col>18</xdr:col>
      <xdr:colOff>558800</xdr:colOff>
      <xdr:row>31</xdr:row>
      <xdr:rowOff>76200</xdr:rowOff>
    </xdr:to>
    <xdr:sp macro="" textlink="">
      <xdr:nvSpPr>
        <xdr:cNvPr id="11" name="Rectangle: Rounded Corners 10">
          <a:extLst>
            <a:ext uri="{FF2B5EF4-FFF2-40B4-BE49-F238E27FC236}">
              <a16:creationId xmlns:a16="http://schemas.microsoft.com/office/drawing/2014/main" id="{09DB1DF5-7B08-456A-B78E-D719AF612CAE}"/>
            </a:ext>
          </a:extLst>
        </xdr:cNvPr>
        <xdr:cNvSpPr/>
      </xdr:nvSpPr>
      <xdr:spPr>
        <a:xfrm>
          <a:off x="6946900" y="4191000"/>
          <a:ext cx="4584700" cy="159385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158750</xdr:colOff>
      <xdr:row>15</xdr:row>
      <xdr:rowOff>152400</xdr:rowOff>
    </xdr:from>
    <xdr:to>
      <xdr:col>2</xdr:col>
      <xdr:colOff>298450</xdr:colOff>
      <xdr:row>18</xdr:row>
      <xdr:rowOff>63500</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0911756-4934-4C6C-9116-49C4D630BDE2}"/>
            </a:ext>
          </a:extLst>
        </xdr:cNvPr>
        <xdr:cNvSpPr/>
      </xdr:nvSpPr>
      <xdr:spPr>
        <a:xfrm>
          <a:off x="158750" y="2914650"/>
          <a:ext cx="1358900" cy="46355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rial Black" panose="020B0A04020102020204" pitchFamily="34" charset="0"/>
            </a:rPr>
            <a:t>DASH BOARD</a:t>
          </a:r>
        </a:p>
      </xdr:txBody>
    </xdr:sp>
    <xdr:clientData/>
  </xdr:twoCellAnchor>
  <xdr:twoCellAnchor>
    <xdr:from>
      <xdr:col>0</xdr:col>
      <xdr:colOff>190500</xdr:colOff>
      <xdr:row>19</xdr:row>
      <xdr:rowOff>38100</xdr:rowOff>
    </xdr:from>
    <xdr:to>
      <xdr:col>2</xdr:col>
      <xdr:colOff>292100</xdr:colOff>
      <xdr:row>21</xdr:row>
      <xdr:rowOff>171450</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6E9AFBFA-7065-47F4-83C8-B798E3B09188}"/>
            </a:ext>
          </a:extLst>
        </xdr:cNvPr>
        <xdr:cNvSpPr/>
      </xdr:nvSpPr>
      <xdr:spPr>
        <a:xfrm>
          <a:off x="190500" y="3536950"/>
          <a:ext cx="1320800" cy="501650"/>
        </a:xfrm>
        <a:prstGeom prst="roundRect">
          <a:avLst/>
        </a:prstGeom>
        <a:no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solidFill>
              <a:latin typeface="Arial Black" panose="020B0A04020102020204" pitchFamily="34" charset="0"/>
            </a:rPr>
            <a:t>PRODUCTS</a:t>
          </a:r>
        </a:p>
      </xdr:txBody>
    </xdr:sp>
    <xdr:clientData/>
  </xdr:twoCellAnchor>
  <xdr:twoCellAnchor>
    <xdr:from>
      <xdr:col>0</xdr:col>
      <xdr:colOff>196850</xdr:colOff>
      <xdr:row>22</xdr:row>
      <xdr:rowOff>114300</xdr:rowOff>
    </xdr:from>
    <xdr:to>
      <xdr:col>2</xdr:col>
      <xdr:colOff>298450</xdr:colOff>
      <xdr:row>25</xdr:row>
      <xdr:rowOff>63500</xdr:rowOff>
    </xdr:to>
    <xdr:sp macro="" textlink="">
      <xdr:nvSpPr>
        <xdr:cNvPr id="14" name="Rectangle: Rounded Corners 13">
          <a:hlinkClick xmlns:r="http://schemas.openxmlformats.org/officeDocument/2006/relationships" r:id="rId6"/>
          <a:extLst>
            <a:ext uri="{FF2B5EF4-FFF2-40B4-BE49-F238E27FC236}">
              <a16:creationId xmlns:a16="http://schemas.microsoft.com/office/drawing/2014/main" id="{49AA1C60-41AB-4993-B58F-169A2E396A6D}"/>
            </a:ext>
          </a:extLst>
        </xdr:cNvPr>
        <xdr:cNvSpPr/>
      </xdr:nvSpPr>
      <xdr:spPr>
        <a:xfrm>
          <a:off x="196850" y="4165600"/>
          <a:ext cx="1320800" cy="501650"/>
        </a:xfrm>
        <a:prstGeom prst="roundRect">
          <a:avLst>
            <a:gd name="adj" fmla="val 1835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SALESMAN</a:t>
          </a:r>
        </a:p>
      </xdr:txBody>
    </xdr:sp>
    <xdr:clientData/>
  </xdr:twoCellAnchor>
  <xdr:twoCellAnchor>
    <xdr:from>
      <xdr:col>0</xdr:col>
      <xdr:colOff>190500</xdr:colOff>
      <xdr:row>26</xdr:row>
      <xdr:rowOff>50800</xdr:rowOff>
    </xdr:from>
    <xdr:to>
      <xdr:col>2</xdr:col>
      <xdr:colOff>304800</xdr:colOff>
      <xdr:row>29</xdr:row>
      <xdr:rowOff>0</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0163786F-98D7-4B28-9413-8A18931F5CD2}"/>
            </a:ext>
          </a:extLst>
        </xdr:cNvPr>
        <xdr:cNvSpPr/>
      </xdr:nvSpPr>
      <xdr:spPr>
        <a:xfrm>
          <a:off x="190500" y="4838700"/>
          <a:ext cx="1333500" cy="501650"/>
        </a:xfrm>
        <a:prstGeom prst="roundRect">
          <a:avLst>
            <a:gd name="adj" fmla="val 1835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ABOUT</a:t>
          </a:r>
        </a:p>
      </xdr:txBody>
    </xdr:sp>
    <xdr:clientData/>
  </xdr:twoCellAnchor>
  <xdr:twoCellAnchor>
    <xdr:from>
      <xdr:col>3</xdr:col>
      <xdr:colOff>228600</xdr:colOff>
      <xdr:row>19</xdr:row>
      <xdr:rowOff>6350</xdr:rowOff>
    </xdr:from>
    <xdr:to>
      <xdr:col>8</xdr:col>
      <xdr:colOff>69850</xdr:colOff>
      <xdr:row>20</xdr:row>
      <xdr:rowOff>171450</xdr:rowOff>
    </xdr:to>
    <xdr:sp macro="" textlink="">
      <xdr:nvSpPr>
        <xdr:cNvPr id="16" name="Rectangle: Rounded Corners 15">
          <a:extLst>
            <a:ext uri="{FF2B5EF4-FFF2-40B4-BE49-F238E27FC236}">
              <a16:creationId xmlns:a16="http://schemas.microsoft.com/office/drawing/2014/main" id="{B131A0F1-E2DE-48FB-A0AF-23BD216A0827}"/>
            </a:ext>
          </a:extLst>
        </xdr:cNvPr>
        <xdr:cNvSpPr/>
      </xdr:nvSpPr>
      <xdr:spPr>
        <a:xfrm>
          <a:off x="2057400" y="3505200"/>
          <a:ext cx="2889250" cy="3492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u="sng">
              <a:solidFill>
                <a:schemeClr val="bg2">
                  <a:lumMod val="10000"/>
                </a:schemeClr>
              </a:solidFill>
              <a:latin typeface="Arial Black" panose="020B0A04020102020204" pitchFamily="34" charset="0"/>
            </a:rPr>
            <a:t>sales</a:t>
          </a:r>
          <a:r>
            <a:rPr lang="en-IN" sz="1100" b="0" u="sng" baseline="0">
              <a:solidFill>
                <a:schemeClr val="bg2">
                  <a:lumMod val="10000"/>
                </a:schemeClr>
              </a:solidFill>
              <a:latin typeface="Arial Black" panose="020B0A04020102020204" pitchFamily="34" charset="0"/>
            </a:rPr>
            <a:t> performances</a:t>
          </a:r>
        </a:p>
        <a:p>
          <a:pPr algn="l"/>
          <a:endParaRPr lang="en-IN" sz="1100" b="0" baseline="0">
            <a:solidFill>
              <a:schemeClr val="bg2">
                <a:lumMod val="10000"/>
              </a:schemeClr>
            </a:solidFill>
            <a:latin typeface="Arial Black" panose="020B0A04020102020204" pitchFamily="34" charset="0"/>
          </a:endParaRPr>
        </a:p>
        <a:p>
          <a:pPr algn="l"/>
          <a:r>
            <a:rPr lang="en-IN" sz="1100" b="0">
              <a:solidFill>
                <a:schemeClr val="bg2">
                  <a:lumMod val="10000"/>
                </a:schemeClr>
              </a:solidFill>
              <a:latin typeface="Arial Black" panose="020B0A04020102020204" pitchFamily="34" charset="0"/>
            </a:rPr>
            <a:t> </a:t>
          </a:r>
        </a:p>
      </xdr:txBody>
    </xdr:sp>
    <xdr:clientData/>
  </xdr:twoCellAnchor>
  <xdr:twoCellAnchor>
    <xdr:from>
      <xdr:col>11</xdr:col>
      <xdr:colOff>247650</xdr:colOff>
      <xdr:row>23</xdr:row>
      <xdr:rowOff>76200</xdr:rowOff>
    </xdr:from>
    <xdr:to>
      <xdr:col>15</xdr:col>
      <xdr:colOff>146050</xdr:colOff>
      <xdr:row>25</xdr:row>
      <xdr:rowOff>19050</xdr:rowOff>
    </xdr:to>
    <xdr:sp macro="" textlink="">
      <xdr:nvSpPr>
        <xdr:cNvPr id="17" name="Rectangle: Rounded Corners 16">
          <a:extLst>
            <a:ext uri="{FF2B5EF4-FFF2-40B4-BE49-F238E27FC236}">
              <a16:creationId xmlns:a16="http://schemas.microsoft.com/office/drawing/2014/main" id="{433E286B-2271-4B6A-AFEE-EC76270568A4}"/>
            </a:ext>
          </a:extLst>
        </xdr:cNvPr>
        <xdr:cNvSpPr/>
      </xdr:nvSpPr>
      <xdr:spPr>
        <a:xfrm>
          <a:off x="6953250" y="4311650"/>
          <a:ext cx="2336800" cy="311150"/>
        </a:xfrm>
        <a:prstGeom prst="roundRect">
          <a:avLst>
            <a:gd name="adj" fmla="val 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u="sng">
              <a:solidFill>
                <a:schemeClr val="tx1"/>
              </a:solidFill>
              <a:latin typeface="Arial Black" panose="020B0A04020102020204" pitchFamily="34" charset="0"/>
            </a:rPr>
            <a:t>Bottom</a:t>
          </a:r>
          <a:r>
            <a:rPr lang="en-IN" sz="1100" b="0" u="sng" baseline="0">
              <a:solidFill>
                <a:schemeClr val="tx1"/>
              </a:solidFill>
              <a:latin typeface="Arial Black" panose="020B0A04020102020204" pitchFamily="34" charset="0"/>
            </a:rPr>
            <a:t> 3 sales man</a:t>
          </a:r>
          <a:endParaRPr lang="en-IN" sz="1100" b="0" u="sng">
            <a:solidFill>
              <a:schemeClr val="tx1"/>
            </a:solidFill>
            <a:latin typeface="Arial Black" panose="020B0A04020102020204" pitchFamily="34" charset="0"/>
          </a:endParaRPr>
        </a:p>
      </xdr:txBody>
    </xdr:sp>
    <xdr:clientData/>
  </xdr:twoCellAnchor>
  <xdr:twoCellAnchor>
    <xdr:from>
      <xdr:col>11</xdr:col>
      <xdr:colOff>260350</xdr:colOff>
      <xdr:row>16</xdr:row>
      <xdr:rowOff>6350</xdr:rowOff>
    </xdr:from>
    <xdr:to>
      <xdr:col>18</xdr:col>
      <xdr:colOff>565150</xdr:colOff>
      <xdr:row>22</xdr:row>
      <xdr:rowOff>76200</xdr:rowOff>
    </xdr:to>
    <xdr:graphicFrame macro="">
      <xdr:nvGraphicFramePr>
        <xdr:cNvPr id="21" name="Chart 20">
          <a:extLst>
            <a:ext uri="{FF2B5EF4-FFF2-40B4-BE49-F238E27FC236}">
              <a16:creationId xmlns:a16="http://schemas.microsoft.com/office/drawing/2014/main" id="{225A9D0D-8AFD-442B-A2DC-9D389A2C7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247650</xdr:colOff>
      <xdr:row>25</xdr:row>
      <xdr:rowOff>0</xdr:rowOff>
    </xdr:from>
    <xdr:to>
      <xdr:col>18</xdr:col>
      <xdr:colOff>558800</xdr:colOff>
      <xdr:row>31</xdr:row>
      <xdr:rowOff>76200</xdr:rowOff>
    </xdr:to>
    <xdr:graphicFrame macro="">
      <xdr:nvGraphicFramePr>
        <xdr:cNvPr id="22" name="Chart 21">
          <a:extLst>
            <a:ext uri="{FF2B5EF4-FFF2-40B4-BE49-F238E27FC236}">
              <a16:creationId xmlns:a16="http://schemas.microsoft.com/office/drawing/2014/main" id="{3BFC62CE-12A5-43C3-9B09-AFA017DF7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158750</xdr:colOff>
      <xdr:row>21</xdr:row>
      <xdr:rowOff>114300</xdr:rowOff>
    </xdr:from>
    <xdr:to>
      <xdr:col>11</xdr:col>
      <xdr:colOff>0</xdr:colOff>
      <xdr:row>34</xdr:row>
      <xdr:rowOff>50800</xdr:rowOff>
    </xdr:to>
    <xdr:graphicFrame macro="">
      <xdr:nvGraphicFramePr>
        <xdr:cNvPr id="23" name="Chart 22">
          <a:extLst>
            <a:ext uri="{FF2B5EF4-FFF2-40B4-BE49-F238E27FC236}">
              <a16:creationId xmlns:a16="http://schemas.microsoft.com/office/drawing/2014/main" id="{A8BEDD6C-01F8-4540-B597-FB3D2789D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520700</xdr:colOff>
      <xdr:row>0</xdr:row>
      <xdr:rowOff>0</xdr:rowOff>
    </xdr:from>
    <xdr:to>
      <xdr:col>52</xdr:col>
      <xdr:colOff>279400</xdr:colOff>
      <xdr:row>133</xdr:row>
      <xdr:rowOff>177800</xdr:rowOff>
    </xdr:to>
    <xdr:sp macro="" textlink="">
      <xdr:nvSpPr>
        <xdr:cNvPr id="2" name="Rectangle: Rounded Corners 1">
          <a:extLst>
            <a:ext uri="{FF2B5EF4-FFF2-40B4-BE49-F238E27FC236}">
              <a16:creationId xmlns:a16="http://schemas.microsoft.com/office/drawing/2014/main" id="{B59AB795-4125-4C12-9C26-F958EE6C3C47}"/>
            </a:ext>
          </a:extLst>
        </xdr:cNvPr>
        <xdr:cNvSpPr/>
      </xdr:nvSpPr>
      <xdr:spPr>
        <a:xfrm>
          <a:off x="1739900" y="0"/>
          <a:ext cx="30238700" cy="24669750"/>
        </a:xfrm>
        <a:prstGeom prst="roundRect">
          <a:avLst>
            <a:gd name="adj" fmla="val 155"/>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xdr:col>
      <xdr:colOff>127000</xdr:colOff>
      <xdr:row>9</xdr:row>
      <xdr:rowOff>57149</xdr:rowOff>
    </xdr:from>
    <xdr:to>
      <xdr:col>18</xdr:col>
      <xdr:colOff>120650</xdr:colOff>
      <xdr:row>13</xdr:row>
      <xdr:rowOff>38100</xdr:rowOff>
    </xdr:to>
    <xdr:pic>
      <xdr:nvPicPr>
        <xdr:cNvPr id="3" name="Picture 2">
          <a:extLst>
            <a:ext uri="{FF2B5EF4-FFF2-40B4-BE49-F238E27FC236}">
              <a16:creationId xmlns:a16="http://schemas.microsoft.com/office/drawing/2014/main" id="{520BA8EE-78C8-43A8-B5EB-90CA41D81425}"/>
            </a:ext>
          </a:extLst>
        </xdr:cNvPr>
        <xdr:cNvPicPr>
          <a:picLocks noChangeAspect="1"/>
        </xdr:cNvPicPr>
      </xdr:nvPicPr>
      <xdr:blipFill>
        <a:blip xmlns:r="http://schemas.openxmlformats.org/officeDocument/2006/relationships" r:embed="rId1"/>
        <a:stretch>
          <a:fillRect/>
        </a:stretch>
      </xdr:blipFill>
      <xdr:spPr>
        <a:xfrm>
          <a:off x="1955800" y="1714499"/>
          <a:ext cx="9137650" cy="717551"/>
        </a:xfrm>
        <a:prstGeom prst="rect">
          <a:avLst/>
        </a:prstGeom>
      </xdr:spPr>
    </xdr:pic>
    <xdr:clientData/>
  </xdr:twoCellAnchor>
  <xdr:twoCellAnchor editAs="oneCell">
    <xdr:from>
      <xdr:col>3</xdr:col>
      <xdr:colOff>133350</xdr:colOff>
      <xdr:row>0</xdr:row>
      <xdr:rowOff>0</xdr:rowOff>
    </xdr:from>
    <xdr:to>
      <xdr:col>12</xdr:col>
      <xdr:colOff>120650</xdr:colOff>
      <xdr:row>7</xdr:row>
      <xdr:rowOff>133350</xdr:rowOff>
    </xdr:to>
    <mc:AlternateContent xmlns:mc="http://schemas.openxmlformats.org/markup-compatibility/2006">
      <mc:Choice xmlns:tsle="http://schemas.microsoft.com/office/drawing/2012/timeslicer" Requires="tsle">
        <xdr:graphicFrame macro="">
          <xdr:nvGraphicFramePr>
            <xdr:cNvPr id="4" name="Date 4">
              <a:extLst>
                <a:ext uri="{FF2B5EF4-FFF2-40B4-BE49-F238E27FC236}">
                  <a16:creationId xmlns:a16="http://schemas.microsoft.com/office/drawing/2014/main" id="{CBE67011-FE2F-430E-90E5-EF5E528E6A1F}"/>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1962150" y="0"/>
              <a:ext cx="5473700" cy="1422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177800</xdr:colOff>
      <xdr:row>0</xdr:row>
      <xdr:rowOff>6350</xdr:rowOff>
    </xdr:from>
    <xdr:to>
      <xdr:col>19</xdr:col>
      <xdr:colOff>44450</xdr:colOff>
      <xdr:row>7</xdr:row>
      <xdr:rowOff>133350</xdr:rowOff>
    </xdr:to>
    <mc:AlternateContent xmlns:mc="http://schemas.openxmlformats.org/markup-compatibility/2006">
      <mc:Choice xmlns:a14="http://schemas.microsoft.com/office/drawing/2010/main" Requires="a14">
        <xdr:graphicFrame macro="">
          <xdr:nvGraphicFramePr>
            <xdr:cNvPr id="5" name="Place 4">
              <a:extLst>
                <a:ext uri="{FF2B5EF4-FFF2-40B4-BE49-F238E27FC236}">
                  <a16:creationId xmlns:a16="http://schemas.microsoft.com/office/drawing/2014/main" id="{331F0DFC-919F-4739-9287-29E33BA12E09}"/>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dr:sp macro="" textlink="">
          <xdr:nvSpPr>
            <xdr:cNvPr id="0" name=""/>
            <xdr:cNvSpPr>
              <a:spLocks noTextEdit="1"/>
            </xdr:cNvSpPr>
          </xdr:nvSpPr>
          <xdr:spPr>
            <a:xfrm>
              <a:off x="7493000" y="6350"/>
              <a:ext cx="4133850" cy="1416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95250</xdr:colOff>
      <xdr:row>9</xdr:row>
      <xdr:rowOff>57150</xdr:rowOff>
    </xdr:from>
    <xdr:to>
      <xdr:col>19</xdr:col>
      <xdr:colOff>107950</xdr:colOff>
      <xdr:row>13</xdr:row>
      <xdr:rowOff>76200</xdr:rowOff>
    </xdr:to>
    <mc:AlternateContent xmlns:mc="http://schemas.openxmlformats.org/markup-compatibility/2006">
      <mc:Choice xmlns:a14="http://schemas.microsoft.com/office/drawing/2010/main" Requires="a14">
        <xdr:graphicFrame macro="">
          <xdr:nvGraphicFramePr>
            <xdr:cNvPr id="6" name="Products 4">
              <a:extLst>
                <a:ext uri="{FF2B5EF4-FFF2-40B4-BE49-F238E27FC236}">
                  <a16:creationId xmlns:a16="http://schemas.microsoft.com/office/drawing/2014/main" id="{C4CCE63B-3528-4618-AF1A-775A0F5B08C3}"/>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dr:sp macro="" textlink="">
          <xdr:nvSpPr>
            <xdr:cNvPr id="0" name=""/>
            <xdr:cNvSpPr>
              <a:spLocks noTextEdit="1"/>
            </xdr:cNvSpPr>
          </xdr:nvSpPr>
          <xdr:spPr>
            <a:xfrm>
              <a:off x="1924050" y="1714500"/>
              <a:ext cx="9766300" cy="75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158750</xdr:colOff>
      <xdr:row>15</xdr:row>
      <xdr:rowOff>152400</xdr:rowOff>
    </xdr:from>
    <xdr:to>
      <xdr:col>2</xdr:col>
      <xdr:colOff>298450</xdr:colOff>
      <xdr:row>18</xdr:row>
      <xdr:rowOff>63500</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B5DC3000-D1E8-470E-A6F9-3F34BF72C153}"/>
            </a:ext>
          </a:extLst>
        </xdr:cNvPr>
        <xdr:cNvSpPr/>
      </xdr:nvSpPr>
      <xdr:spPr>
        <a:xfrm>
          <a:off x="158750" y="2914650"/>
          <a:ext cx="1358900" cy="4635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latin typeface="Arial Black" panose="020B0A04020102020204" pitchFamily="34" charset="0"/>
            </a:rPr>
            <a:t>DASH BOARD</a:t>
          </a:r>
        </a:p>
      </xdr:txBody>
    </xdr:sp>
    <xdr:clientData/>
  </xdr:twoCellAnchor>
  <xdr:twoCellAnchor>
    <xdr:from>
      <xdr:col>0</xdr:col>
      <xdr:colOff>190500</xdr:colOff>
      <xdr:row>19</xdr:row>
      <xdr:rowOff>38100</xdr:rowOff>
    </xdr:from>
    <xdr:to>
      <xdr:col>2</xdr:col>
      <xdr:colOff>292100</xdr:colOff>
      <xdr:row>21</xdr:row>
      <xdr:rowOff>171450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067781BD-BAB9-4DAF-A4CC-6BCBBA894FAE}"/>
            </a:ext>
          </a:extLst>
        </xdr:cNvPr>
        <xdr:cNvSpPr/>
      </xdr:nvSpPr>
      <xdr:spPr>
        <a:xfrm>
          <a:off x="190500" y="3536950"/>
          <a:ext cx="1320800" cy="5016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0">
              <a:solidFill>
                <a:schemeClr val="tx1"/>
              </a:solidFill>
              <a:latin typeface="Arial Black" panose="020B0A04020102020204" pitchFamily="34" charset="0"/>
            </a:rPr>
            <a:t>PRODUCTS</a:t>
          </a:r>
        </a:p>
      </xdr:txBody>
    </xdr:sp>
    <xdr:clientData/>
  </xdr:twoCellAnchor>
  <xdr:twoCellAnchor>
    <xdr:from>
      <xdr:col>0</xdr:col>
      <xdr:colOff>196850</xdr:colOff>
      <xdr:row>22</xdr:row>
      <xdr:rowOff>114300</xdr:rowOff>
    </xdr:from>
    <xdr:to>
      <xdr:col>2</xdr:col>
      <xdr:colOff>298450</xdr:colOff>
      <xdr:row>25</xdr:row>
      <xdr:rowOff>63500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CDC22978-A855-44E4-B04B-E0FF14ABA3D7}"/>
            </a:ext>
          </a:extLst>
        </xdr:cNvPr>
        <xdr:cNvSpPr/>
      </xdr:nvSpPr>
      <xdr:spPr>
        <a:xfrm>
          <a:off x="196850" y="4165600"/>
          <a:ext cx="1320800" cy="501650"/>
        </a:xfrm>
        <a:prstGeom prst="roundRect">
          <a:avLst>
            <a:gd name="adj" fmla="val 1835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SALESMAN</a:t>
          </a:r>
        </a:p>
      </xdr:txBody>
    </xdr:sp>
    <xdr:clientData/>
  </xdr:twoCellAnchor>
  <xdr:twoCellAnchor>
    <xdr:from>
      <xdr:col>0</xdr:col>
      <xdr:colOff>190500</xdr:colOff>
      <xdr:row>26</xdr:row>
      <xdr:rowOff>50800</xdr:rowOff>
    </xdr:from>
    <xdr:to>
      <xdr:col>2</xdr:col>
      <xdr:colOff>304800</xdr:colOff>
      <xdr:row>29</xdr:row>
      <xdr:rowOff>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65FC9C4C-F6E5-4FFE-B387-D332B2608FF0}"/>
            </a:ext>
          </a:extLst>
        </xdr:cNvPr>
        <xdr:cNvSpPr/>
      </xdr:nvSpPr>
      <xdr:spPr>
        <a:xfrm>
          <a:off x="190500" y="4838700"/>
          <a:ext cx="1333500" cy="501650"/>
        </a:xfrm>
        <a:prstGeom prst="roundRect">
          <a:avLst>
            <a:gd name="adj" fmla="val 18354"/>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Arial Black" panose="020B0A04020102020204" pitchFamily="34" charset="0"/>
            </a:rPr>
            <a:t>ABOUT</a:t>
          </a:r>
        </a:p>
      </xdr:txBody>
    </xdr:sp>
    <xdr:clientData/>
  </xdr:twoCellAnchor>
  <xdr:twoCellAnchor>
    <xdr:from>
      <xdr:col>3</xdr:col>
      <xdr:colOff>393700</xdr:colOff>
      <xdr:row>27</xdr:row>
      <xdr:rowOff>44450</xdr:rowOff>
    </xdr:from>
    <xdr:to>
      <xdr:col>6</xdr:col>
      <xdr:colOff>209550</xdr:colOff>
      <xdr:row>30</xdr:row>
      <xdr:rowOff>95250</xdr:rowOff>
    </xdr:to>
    <xdr:sp macro="" textlink="">
      <xdr:nvSpPr>
        <xdr:cNvPr id="31" name="Rectangle: Rounded Corners 30">
          <a:extLst>
            <a:ext uri="{FF2B5EF4-FFF2-40B4-BE49-F238E27FC236}">
              <a16:creationId xmlns:a16="http://schemas.microsoft.com/office/drawing/2014/main" id="{98B496DE-4BAE-2DB9-8C6C-0AB1D28F781A}"/>
            </a:ext>
          </a:extLst>
        </xdr:cNvPr>
        <xdr:cNvSpPr/>
      </xdr:nvSpPr>
      <xdr:spPr>
        <a:xfrm>
          <a:off x="2222500" y="5016500"/>
          <a:ext cx="1644650" cy="6032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a:latin typeface="Arial Black" panose="020B0A04020102020204" pitchFamily="34" charset="0"/>
            </a:rPr>
            <a:t>About</a:t>
          </a:r>
        </a:p>
        <a:p>
          <a:pPr algn="l"/>
          <a:endParaRPr lang="en-IN" sz="1100"/>
        </a:p>
      </xdr:txBody>
    </xdr:sp>
    <xdr:clientData/>
  </xdr:twoCellAnchor>
  <xdr:twoCellAnchor>
    <xdr:from>
      <xdr:col>3</xdr:col>
      <xdr:colOff>6350</xdr:colOff>
      <xdr:row>18</xdr:row>
      <xdr:rowOff>50800</xdr:rowOff>
    </xdr:from>
    <xdr:to>
      <xdr:col>20</xdr:col>
      <xdr:colOff>247650</xdr:colOff>
      <xdr:row>52</xdr:row>
      <xdr:rowOff>88900</xdr:rowOff>
    </xdr:to>
    <xdr:sp macro="" textlink="">
      <xdr:nvSpPr>
        <xdr:cNvPr id="32" name="Rectangle: Rounded Corners 31">
          <a:extLst>
            <a:ext uri="{FF2B5EF4-FFF2-40B4-BE49-F238E27FC236}">
              <a16:creationId xmlns:a16="http://schemas.microsoft.com/office/drawing/2014/main" id="{C06B527C-49A5-2326-E873-8C4E9B8C2949}"/>
            </a:ext>
          </a:extLst>
        </xdr:cNvPr>
        <xdr:cNvSpPr/>
      </xdr:nvSpPr>
      <xdr:spPr>
        <a:xfrm>
          <a:off x="1835150" y="3365500"/>
          <a:ext cx="10604500" cy="629920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Verison:</a:t>
          </a:r>
        </a:p>
        <a:p>
          <a:pPr algn="l"/>
          <a:r>
            <a:rPr lang="en-IN" sz="1100" b="1" i="1">
              <a:solidFill>
                <a:schemeClr val="tx1"/>
              </a:solidFill>
            </a:rPr>
            <a:t>This</a:t>
          </a:r>
          <a:r>
            <a:rPr lang="en-IN" sz="1100" b="1" i="1" baseline="0">
              <a:solidFill>
                <a:schemeClr val="tx1"/>
              </a:solidFill>
            </a:rPr>
            <a:t> project is created  in Excel 2019 Verison but you can use excel 2013 or any later verison</a:t>
          </a:r>
        </a:p>
        <a:p>
          <a:pPr algn="l"/>
          <a:r>
            <a:rPr lang="en-IN" sz="1100" b="1" i="1" baseline="0">
              <a:solidFill>
                <a:schemeClr val="tx1"/>
              </a:solidFill>
            </a:rPr>
            <a:t> </a:t>
          </a:r>
          <a:endParaRPr lang="en-IN" sz="1100" b="1" i="1">
            <a:solidFill>
              <a:schemeClr val="tx1"/>
            </a:solidFill>
          </a:endParaRPr>
        </a:p>
      </xdr:txBody>
    </xdr:sp>
    <xdr:clientData/>
  </xdr:twoCellAnchor>
  <xdr:twoCellAnchor>
    <xdr:from>
      <xdr:col>4</xdr:col>
      <xdr:colOff>501650</xdr:colOff>
      <xdr:row>14</xdr:row>
      <xdr:rowOff>82550</xdr:rowOff>
    </xdr:from>
    <xdr:to>
      <xdr:col>7</xdr:col>
      <xdr:colOff>323850</xdr:colOff>
      <xdr:row>18</xdr:row>
      <xdr:rowOff>25400</xdr:rowOff>
    </xdr:to>
    <xdr:sp macro="" textlink="">
      <xdr:nvSpPr>
        <xdr:cNvPr id="33" name="Rectangle: Rounded Corners 32">
          <a:extLst>
            <a:ext uri="{FF2B5EF4-FFF2-40B4-BE49-F238E27FC236}">
              <a16:creationId xmlns:a16="http://schemas.microsoft.com/office/drawing/2014/main" id="{DBEE8845-5175-DC42-5225-15469F12813A}"/>
            </a:ext>
          </a:extLst>
        </xdr:cNvPr>
        <xdr:cNvSpPr/>
      </xdr:nvSpPr>
      <xdr:spPr>
        <a:xfrm>
          <a:off x="2940050" y="2660650"/>
          <a:ext cx="1651000" cy="6794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latin typeface="Arial Black" panose="020B0A04020102020204" pitchFamily="34" charset="0"/>
            </a:rPr>
            <a:t>ABOUT</a:t>
          </a:r>
        </a:p>
      </xdr:txBody>
    </xdr:sp>
    <xdr:clientData/>
  </xdr:twoCellAnchor>
  <xdr:twoCellAnchor editAs="oneCell">
    <xdr:from>
      <xdr:col>3</xdr:col>
      <xdr:colOff>381000</xdr:colOff>
      <xdr:row>13</xdr:row>
      <xdr:rowOff>31750</xdr:rowOff>
    </xdr:from>
    <xdr:to>
      <xdr:col>5</xdr:col>
      <xdr:colOff>76200</xdr:colOff>
      <xdr:row>18</xdr:row>
      <xdr:rowOff>25400</xdr:rowOff>
    </xdr:to>
    <xdr:pic>
      <xdr:nvPicPr>
        <xdr:cNvPr id="35" name="Graphic 34" descr="Male profile with solid fill">
          <a:extLst>
            <a:ext uri="{FF2B5EF4-FFF2-40B4-BE49-F238E27FC236}">
              <a16:creationId xmlns:a16="http://schemas.microsoft.com/office/drawing/2014/main" id="{DD6A7776-65B6-E968-41EB-9CC39651E2E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09800" y="242570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sna Reddy" refreshedDate="46178.510247106482" createdVersion="8" refreshedVersion="8" minRefreshableVersion="3" recordCount="279" xr:uid="{B0CB51C5-2515-4558-91B0-8215B280BDD0}">
  <cacheSource type="worksheet">
    <worksheetSource ref="A1:G1048576" sheet="Sheet1"/>
  </cacheSource>
  <cacheFields count="10">
    <cacheField name="Date" numFmtId="0">
      <sharedItems containsNonDate="0" containsDate="1" containsString="0" containsBlank="1" minDate="2020-01-01T00:00:00" maxDate="2022-12-31T00:00:00" count="279">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m/>
      </sharedItems>
      <fieldGroup par="9"/>
    </cacheField>
    <cacheField name="Sales Persons" numFmtId="0">
      <sharedItems containsBlank="1" count="7">
        <s v="Ramesh"/>
        <s v="Kiran"/>
        <s v="Gopi"/>
        <s v="Mahesh"/>
        <s v="Ganesh"/>
        <s v="Prathap"/>
        <m/>
      </sharedItems>
    </cacheField>
    <cacheField name="Products" numFmtId="0">
      <sharedItems containsBlank="1" count="7">
        <s v="Furniture"/>
        <s v="LED TV's"/>
        <s v="4K LED TV's"/>
        <s v="Mobiles"/>
        <s v="Laptops"/>
        <s v="Speakers"/>
        <m/>
      </sharedItems>
    </cacheField>
    <cacheField name="Place" numFmtId="0">
      <sharedItems containsBlank="1" count="7">
        <s v="Guntur"/>
        <s v="Vijayawada"/>
        <s v="Bapatla"/>
        <s v="Tenali"/>
        <s v="Chirala"/>
        <s v="Ongole"/>
        <m/>
      </sharedItems>
    </cacheField>
    <cacheField name="Price" numFmtId="0">
      <sharedItems containsString="0" containsBlank="1" containsNumber="1" containsInteger="1" minValue="89" maxValue="99620"/>
    </cacheField>
    <cacheField name="Units" numFmtId="0">
      <sharedItems containsString="0" containsBlank="1" containsNumber="1" containsInteger="1" minValue="4" maxValue="100" count="42">
        <n v="50"/>
        <n v="33"/>
        <n v="44"/>
        <n v="11"/>
        <n v="48"/>
        <n v="26"/>
        <n v="39"/>
        <n v="9"/>
        <n v="41"/>
        <n v="4"/>
        <n v="8"/>
        <n v="27"/>
        <n v="10"/>
        <n v="17"/>
        <n v="43"/>
        <n v="42"/>
        <n v="6"/>
        <n v="28"/>
        <n v="13"/>
        <n v="7"/>
        <n v="45"/>
        <n v="22"/>
        <n v="16"/>
        <n v="20"/>
        <n v="23"/>
        <n v="37"/>
        <n v="15"/>
        <n v="40"/>
        <n v="14"/>
        <n v="29"/>
        <n v="31"/>
        <n v="34"/>
        <n v="25"/>
        <n v="12"/>
        <n v="35"/>
        <n v="36"/>
        <n v="47"/>
        <n v="19"/>
        <n v="49"/>
        <n v="38"/>
        <n v="100"/>
        <m/>
      </sharedItems>
    </cacheField>
    <cacheField name="Amount" numFmtId="0">
      <sharedItems containsString="0" containsBlank="1" containsNumber="1" containsInteger="1" minValue="720" maxValue="4250000" count="142">
        <n v="24950"/>
        <n v="184767"/>
        <n v="63800"/>
        <n v="4250000"/>
        <n v="165000"/>
        <n v="122400"/>
        <n v="858000"/>
        <n v="3354000"/>
        <n v="8910"/>
        <n v="229559"/>
        <n v="19461"/>
        <n v="7996"/>
        <n v="507200"/>
        <n v="40473"/>
        <n v="1200"/>
        <n v="203983"/>
        <n v="1282500"/>
        <n v="128957"/>
        <n v="80100"/>
        <n v="924000"/>
        <n v="7500"/>
        <n v="27972"/>
        <n v="18850"/>
        <n v="191992"/>
        <n v="456400"/>
        <n v="31455"/>
        <n v="56100"/>
        <n v="88000"/>
        <n v="220000"/>
        <n v="23984"/>
        <n v="2640"/>
        <n v="29000"/>
        <n v="45977"/>
        <n v="34400"/>
        <n v="738000"/>
        <n v="517963"/>
        <n v="990000"/>
        <n v="1349985"/>
        <n v="307978"/>
        <n v="58000"/>
        <n v="528000"/>
        <n v="374000"/>
        <n v="34950"/>
        <n v="1996"/>
        <n v="25370"/>
        <n v="24780"/>
        <n v="1080"/>
        <n v="2080000"/>
        <n v="111986"/>
        <n v="4950"/>
        <n v="799990"/>
        <n v="73963"/>
        <n v="2609971"/>
        <n v="3454000"/>
        <n v="123690"/>
        <n v="1508000"/>
        <n v="475966"/>
        <n v="3480"/>
        <n v="599975"/>
        <n v="1395000"/>
        <n v="7200"/>
        <n v="3120000"/>
        <n v="783200"/>
        <n v="4194"/>
        <n v="11880"/>
        <n v="19800"/>
        <n v="22485"/>
        <n v="12974"/>
        <n v="704000"/>
        <n v="195965"/>
        <n v="1947600"/>
        <n v="51000"/>
        <n v="68150"/>
        <n v="17400"/>
        <n v="391200"/>
        <n v="2132000"/>
        <n v="1711000"/>
        <n v="247969"/>
        <n v="1530000"/>
        <n v="42570"/>
        <n v="443963"/>
        <n v="6720"/>
        <n v="27550"/>
        <n v="2115000"/>
        <n v="55463"/>
        <n v="319996"/>
        <n v="44955"/>
        <n v="780000"/>
        <n v="2028000"/>
        <n v="31680"/>
        <n v="877500"/>
        <n v="98967"/>
        <n v="17500"/>
        <n v="4920"/>
        <n v="31900"/>
        <n v="95952"/>
        <n v="142100"/>
        <n v="35000"/>
        <n v="8200"/>
        <n v="1421000"/>
        <n v="201564"/>
        <n v="526500"/>
        <n v="719991"/>
        <n v="2857600"/>
        <n v="13750"/>
        <n v="30969"/>
        <n v="1100"/>
        <n v="31200"/>
        <n v="1600"/>
        <n v="26973"/>
        <n v="430200"/>
        <n v="644000"/>
        <n v="4100"/>
        <n v="2250000"/>
        <n v="108000"/>
        <n v="45000"/>
        <n v="35156"/>
        <n v="420500"/>
        <n v="38750"/>
        <n v="569600"/>
        <n v="264000"/>
        <n v="15360"/>
        <n v="3204"/>
        <n v="720"/>
        <n v="17110"/>
        <n v="33966"/>
        <n v="21150"/>
        <n v="49300"/>
        <n v="14471"/>
        <n v="3900"/>
        <n v="26600"/>
        <n v="720000"/>
        <n v="5760"/>
        <n v="563200"/>
        <n v="1195440"/>
        <n v="1287000"/>
        <n v="681500"/>
        <n v="250000"/>
        <n v="519240"/>
        <n v="24200"/>
        <n v="1242600"/>
        <m/>
      </sharedItems>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2014828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x v="0"/>
    <x v="0"/>
    <x v="0"/>
    <x v="0"/>
    <n v="499"/>
    <x v="0"/>
    <x v="0"/>
  </r>
  <r>
    <x v="1"/>
    <x v="1"/>
    <x v="0"/>
    <x v="1"/>
    <n v="5599"/>
    <x v="1"/>
    <x v="1"/>
  </r>
  <r>
    <x v="2"/>
    <x v="2"/>
    <x v="1"/>
    <x v="2"/>
    <n v="1450"/>
    <x v="2"/>
    <x v="2"/>
  </r>
  <r>
    <x v="3"/>
    <x v="3"/>
    <x v="2"/>
    <x v="0"/>
    <n v="85000"/>
    <x v="0"/>
    <x v="3"/>
  </r>
  <r>
    <x v="4"/>
    <x v="3"/>
    <x v="3"/>
    <x v="3"/>
    <n v="15000"/>
    <x v="3"/>
    <x v="4"/>
  </r>
  <r>
    <x v="5"/>
    <x v="1"/>
    <x v="0"/>
    <x v="3"/>
    <n v="2550"/>
    <x v="4"/>
    <x v="5"/>
  </r>
  <r>
    <x v="6"/>
    <x v="4"/>
    <x v="4"/>
    <x v="2"/>
    <n v="33000"/>
    <x v="5"/>
    <x v="6"/>
  </r>
  <r>
    <x v="7"/>
    <x v="0"/>
    <x v="2"/>
    <x v="4"/>
    <n v="86000"/>
    <x v="6"/>
    <x v="7"/>
  </r>
  <r>
    <x v="8"/>
    <x v="2"/>
    <x v="5"/>
    <x v="3"/>
    <n v="990"/>
    <x v="7"/>
    <x v="8"/>
  </r>
  <r>
    <x v="9"/>
    <x v="0"/>
    <x v="0"/>
    <x v="0"/>
    <n v="5599"/>
    <x v="8"/>
    <x v="9"/>
  </r>
  <r>
    <x v="10"/>
    <x v="4"/>
    <x v="4"/>
    <x v="2"/>
    <n v="499"/>
    <x v="6"/>
    <x v="10"/>
  </r>
  <r>
    <x v="11"/>
    <x v="1"/>
    <x v="5"/>
    <x v="0"/>
    <n v="1999"/>
    <x v="9"/>
    <x v="11"/>
  </r>
  <r>
    <x v="12"/>
    <x v="3"/>
    <x v="2"/>
    <x v="0"/>
    <n v="63400"/>
    <x v="10"/>
    <x v="12"/>
  </r>
  <r>
    <x v="13"/>
    <x v="5"/>
    <x v="5"/>
    <x v="3"/>
    <n v="1499"/>
    <x v="11"/>
    <x v="13"/>
  </r>
  <r>
    <x v="14"/>
    <x v="3"/>
    <x v="3"/>
    <x v="2"/>
    <n v="120"/>
    <x v="12"/>
    <x v="14"/>
  </r>
  <r>
    <x v="15"/>
    <x v="1"/>
    <x v="4"/>
    <x v="4"/>
    <n v="11999"/>
    <x v="13"/>
    <x v="15"/>
  </r>
  <r>
    <x v="16"/>
    <x v="2"/>
    <x v="2"/>
    <x v="1"/>
    <n v="47500"/>
    <x v="11"/>
    <x v="16"/>
  </r>
  <r>
    <x v="17"/>
    <x v="4"/>
    <x v="4"/>
    <x v="1"/>
    <n v="2999"/>
    <x v="14"/>
    <x v="17"/>
  </r>
  <r>
    <x v="18"/>
    <x v="3"/>
    <x v="3"/>
    <x v="1"/>
    <n v="8900"/>
    <x v="7"/>
    <x v="18"/>
  </r>
  <r>
    <x v="19"/>
    <x v="1"/>
    <x v="4"/>
    <x v="0"/>
    <n v="22000"/>
    <x v="15"/>
    <x v="19"/>
  </r>
  <r>
    <x v="20"/>
    <x v="2"/>
    <x v="1"/>
    <x v="1"/>
    <n v="1250"/>
    <x v="16"/>
    <x v="20"/>
  </r>
  <r>
    <x v="21"/>
    <x v="3"/>
    <x v="3"/>
    <x v="3"/>
    <n v="999"/>
    <x v="17"/>
    <x v="21"/>
  </r>
  <r>
    <x v="22"/>
    <x v="4"/>
    <x v="1"/>
    <x v="4"/>
    <n v="1450"/>
    <x v="18"/>
    <x v="22"/>
  </r>
  <r>
    <x v="23"/>
    <x v="4"/>
    <x v="1"/>
    <x v="2"/>
    <n v="23999"/>
    <x v="10"/>
    <x v="23"/>
  </r>
  <r>
    <x v="24"/>
    <x v="1"/>
    <x v="2"/>
    <x v="4"/>
    <n v="65200"/>
    <x v="19"/>
    <x v="24"/>
  </r>
  <r>
    <x v="25"/>
    <x v="1"/>
    <x v="5"/>
    <x v="1"/>
    <n v="699"/>
    <x v="20"/>
    <x v="25"/>
  </r>
  <r>
    <x v="26"/>
    <x v="0"/>
    <x v="0"/>
    <x v="0"/>
    <n v="2550"/>
    <x v="21"/>
    <x v="26"/>
  </r>
  <r>
    <x v="27"/>
    <x v="2"/>
    <x v="4"/>
    <x v="4"/>
    <n v="22000"/>
    <x v="9"/>
    <x v="27"/>
  </r>
  <r>
    <x v="28"/>
    <x v="4"/>
    <x v="2"/>
    <x v="0"/>
    <n v="22000"/>
    <x v="12"/>
    <x v="28"/>
  </r>
  <r>
    <x v="29"/>
    <x v="5"/>
    <x v="5"/>
    <x v="3"/>
    <n v="1499"/>
    <x v="22"/>
    <x v="29"/>
  </r>
  <r>
    <x v="30"/>
    <x v="1"/>
    <x v="3"/>
    <x v="4"/>
    <n v="120"/>
    <x v="21"/>
    <x v="30"/>
  </r>
  <r>
    <x v="31"/>
    <x v="0"/>
    <x v="0"/>
    <x v="2"/>
    <n v="1450"/>
    <x v="23"/>
    <x v="31"/>
  </r>
  <r>
    <x v="32"/>
    <x v="5"/>
    <x v="5"/>
    <x v="3"/>
    <n v="1999"/>
    <x v="24"/>
    <x v="32"/>
  </r>
  <r>
    <x v="33"/>
    <x v="1"/>
    <x v="0"/>
    <x v="0"/>
    <n v="800"/>
    <x v="14"/>
    <x v="33"/>
  </r>
  <r>
    <x v="34"/>
    <x v="2"/>
    <x v="3"/>
    <x v="3"/>
    <n v="18000"/>
    <x v="8"/>
    <x v="34"/>
  </r>
  <r>
    <x v="35"/>
    <x v="0"/>
    <x v="0"/>
    <x v="1"/>
    <n v="13999"/>
    <x v="25"/>
    <x v="35"/>
  </r>
  <r>
    <x v="36"/>
    <x v="1"/>
    <x v="4"/>
    <x v="3"/>
    <n v="22000"/>
    <x v="20"/>
    <x v="36"/>
  </r>
  <r>
    <x v="37"/>
    <x v="4"/>
    <x v="2"/>
    <x v="0"/>
    <n v="89999"/>
    <x v="26"/>
    <x v="37"/>
  </r>
  <r>
    <x v="38"/>
    <x v="0"/>
    <x v="0"/>
    <x v="2"/>
    <n v="13999"/>
    <x v="21"/>
    <x v="38"/>
  </r>
  <r>
    <x v="39"/>
    <x v="2"/>
    <x v="5"/>
    <x v="1"/>
    <n v="2900"/>
    <x v="23"/>
    <x v="39"/>
  </r>
  <r>
    <x v="40"/>
    <x v="1"/>
    <x v="4"/>
    <x v="3"/>
    <n v="33000"/>
    <x v="22"/>
    <x v="40"/>
  </r>
  <r>
    <x v="41"/>
    <x v="2"/>
    <x v="4"/>
    <x v="1"/>
    <n v="22000"/>
    <x v="13"/>
    <x v="41"/>
  </r>
  <r>
    <x v="42"/>
    <x v="5"/>
    <x v="5"/>
    <x v="1"/>
    <n v="699"/>
    <x v="0"/>
    <x v="42"/>
  </r>
  <r>
    <x v="43"/>
    <x v="4"/>
    <x v="4"/>
    <x v="2"/>
    <n v="499"/>
    <x v="9"/>
    <x v="43"/>
  </r>
  <r>
    <x v="44"/>
    <x v="1"/>
    <x v="5"/>
    <x v="3"/>
    <n v="590"/>
    <x v="14"/>
    <x v="44"/>
  </r>
  <r>
    <x v="45"/>
    <x v="5"/>
    <x v="5"/>
    <x v="1"/>
    <n v="590"/>
    <x v="15"/>
    <x v="45"/>
  </r>
  <r>
    <x v="46"/>
    <x v="1"/>
    <x v="2"/>
    <x v="0"/>
    <n v="120"/>
    <x v="7"/>
    <x v="46"/>
  </r>
  <r>
    <x v="47"/>
    <x v="4"/>
    <x v="4"/>
    <x v="4"/>
    <n v="52000"/>
    <x v="27"/>
    <x v="47"/>
  </r>
  <r>
    <x v="48"/>
    <x v="2"/>
    <x v="1"/>
    <x v="3"/>
    <n v="7999"/>
    <x v="28"/>
    <x v="48"/>
  </r>
  <r>
    <x v="49"/>
    <x v="1"/>
    <x v="1"/>
    <x v="4"/>
    <n v="550"/>
    <x v="7"/>
    <x v="49"/>
  </r>
  <r>
    <x v="50"/>
    <x v="2"/>
    <x v="2"/>
    <x v="3"/>
    <n v="79999"/>
    <x v="12"/>
    <x v="50"/>
  </r>
  <r>
    <x v="51"/>
    <x v="5"/>
    <x v="5"/>
    <x v="3"/>
    <n v="1999"/>
    <x v="25"/>
    <x v="51"/>
  </r>
  <r>
    <x v="52"/>
    <x v="4"/>
    <x v="4"/>
    <x v="2"/>
    <n v="89999"/>
    <x v="29"/>
    <x v="52"/>
  </r>
  <r>
    <x v="53"/>
    <x v="1"/>
    <x v="2"/>
    <x v="3"/>
    <n v="78500"/>
    <x v="2"/>
    <x v="53"/>
  </r>
  <r>
    <x v="54"/>
    <x v="4"/>
    <x v="4"/>
    <x v="1"/>
    <n v="3990"/>
    <x v="30"/>
    <x v="54"/>
  </r>
  <r>
    <x v="55"/>
    <x v="2"/>
    <x v="4"/>
    <x v="3"/>
    <n v="52000"/>
    <x v="29"/>
    <x v="55"/>
  </r>
  <r>
    <x v="56"/>
    <x v="0"/>
    <x v="2"/>
    <x v="3"/>
    <n v="13999"/>
    <x v="31"/>
    <x v="56"/>
  </r>
  <r>
    <x v="57"/>
    <x v="1"/>
    <x v="3"/>
    <x v="1"/>
    <n v="120"/>
    <x v="29"/>
    <x v="57"/>
  </r>
  <r>
    <x v="58"/>
    <x v="4"/>
    <x v="1"/>
    <x v="1"/>
    <n v="23999"/>
    <x v="32"/>
    <x v="58"/>
  </r>
  <r>
    <x v="59"/>
    <x v="4"/>
    <x v="2"/>
    <x v="3"/>
    <n v="45000"/>
    <x v="30"/>
    <x v="59"/>
  </r>
  <r>
    <x v="60"/>
    <x v="1"/>
    <x v="5"/>
    <x v="1"/>
    <n v="450"/>
    <x v="22"/>
    <x v="60"/>
  </r>
  <r>
    <x v="61"/>
    <x v="3"/>
    <x v="3"/>
    <x v="3"/>
    <n v="65000"/>
    <x v="4"/>
    <x v="61"/>
  </r>
  <r>
    <x v="62"/>
    <x v="2"/>
    <x v="2"/>
    <x v="4"/>
    <n v="35600"/>
    <x v="21"/>
    <x v="62"/>
  </r>
  <r>
    <x v="63"/>
    <x v="5"/>
    <x v="5"/>
    <x v="2"/>
    <n v="699"/>
    <x v="16"/>
    <x v="63"/>
  </r>
  <r>
    <x v="64"/>
    <x v="1"/>
    <x v="5"/>
    <x v="1"/>
    <n v="990"/>
    <x v="33"/>
    <x v="64"/>
  </r>
  <r>
    <x v="65"/>
    <x v="5"/>
    <x v="2"/>
    <x v="0"/>
    <n v="450"/>
    <x v="2"/>
    <x v="65"/>
  </r>
  <r>
    <x v="66"/>
    <x v="5"/>
    <x v="5"/>
    <x v="2"/>
    <n v="1499"/>
    <x v="26"/>
    <x v="66"/>
  </r>
  <r>
    <x v="67"/>
    <x v="0"/>
    <x v="0"/>
    <x v="4"/>
    <n v="499"/>
    <x v="5"/>
    <x v="67"/>
  </r>
  <r>
    <x v="68"/>
    <x v="2"/>
    <x v="2"/>
    <x v="4"/>
    <n v="44000"/>
    <x v="22"/>
    <x v="68"/>
  </r>
  <r>
    <x v="69"/>
    <x v="0"/>
    <x v="0"/>
    <x v="3"/>
    <n v="5599"/>
    <x v="34"/>
    <x v="69"/>
  </r>
  <r>
    <x v="70"/>
    <x v="3"/>
    <x v="2"/>
    <x v="0"/>
    <n v="54100"/>
    <x v="35"/>
    <x v="70"/>
  </r>
  <r>
    <x v="71"/>
    <x v="0"/>
    <x v="0"/>
    <x v="2"/>
    <n v="2550"/>
    <x v="23"/>
    <x v="71"/>
  </r>
  <r>
    <x v="72"/>
    <x v="1"/>
    <x v="2"/>
    <x v="2"/>
    <n v="1450"/>
    <x v="36"/>
    <x v="72"/>
  </r>
  <r>
    <x v="73"/>
    <x v="5"/>
    <x v="5"/>
    <x v="3"/>
    <n v="2900"/>
    <x v="16"/>
    <x v="73"/>
  </r>
  <r>
    <x v="74"/>
    <x v="3"/>
    <x v="2"/>
    <x v="4"/>
    <n v="65200"/>
    <x v="16"/>
    <x v="74"/>
  </r>
  <r>
    <x v="75"/>
    <x v="1"/>
    <x v="4"/>
    <x v="4"/>
    <n v="52000"/>
    <x v="8"/>
    <x v="75"/>
  </r>
  <r>
    <x v="76"/>
    <x v="2"/>
    <x v="2"/>
    <x v="1"/>
    <n v="59000"/>
    <x v="29"/>
    <x v="76"/>
  </r>
  <r>
    <x v="77"/>
    <x v="4"/>
    <x v="1"/>
    <x v="4"/>
    <n v="7999"/>
    <x v="30"/>
    <x v="77"/>
  </r>
  <r>
    <x v="78"/>
    <x v="1"/>
    <x v="3"/>
    <x v="1"/>
    <n v="45000"/>
    <x v="31"/>
    <x v="78"/>
  </r>
  <r>
    <x v="79"/>
    <x v="5"/>
    <x v="5"/>
    <x v="0"/>
    <n v="990"/>
    <x v="14"/>
    <x v="79"/>
  </r>
  <r>
    <x v="80"/>
    <x v="4"/>
    <x v="4"/>
    <x v="0"/>
    <n v="11999"/>
    <x v="25"/>
    <x v="80"/>
  </r>
  <r>
    <x v="81"/>
    <x v="4"/>
    <x v="1"/>
    <x v="0"/>
    <n v="960"/>
    <x v="19"/>
    <x v="81"/>
  </r>
  <r>
    <x v="82"/>
    <x v="1"/>
    <x v="0"/>
    <x v="2"/>
    <n v="1450"/>
    <x v="37"/>
    <x v="82"/>
  </r>
  <r>
    <x v="83"/>
    <x v="2"/>
    <x v="2"/>
    <x v="1"/>
    <n v="45000"/>
    <x v="36"/>
    <x v="83"/>
  </r>
  <r>
    <x v="84"/>
    <x v="1"/>
    <x v="5"/>
    <x v="1"/>
    <n v="1499"/>
    <x v="25"/>
    <x v="84"/>
  </r>
  <r>
    <x v="85"/>
    <x v="4"/>
    <x v="4"/>
    <x v="2"/>
    <n v="79999"/>
    <x v="9"/>
    <x v="85"/>
  </r>
  <r>
    <x v="86"/>
    <x v="3"/>
    <x v="2"/>
    <x v="4"/>
    <n v="999"/>
    <x v="20"/>
    <x v="86"/>
  </r>
  <r>
    <x v="87"/>
    <x v="1"/>
    <x v="4"/>
    <x v="0"/>
    <n v="52000"/>
    <x v="26"/>
    <x v="87"/>
  </r>
  <r>
    <x v="88"/>
    <x v="2"/>
    <x v="2"/>
    <x v="3"/>
    <n v="52000"/>
    <x v="6"/>
    <x v="88"/>
  </r>
  <r>
    <x v="89"/>
    <x v="4"/>
    <x v="1"/>
    <x v="2"/>
    <n v="960"/>
    <x v="1"/>
    <x v="89"/>
  </r>
  <r>
    <x v="90"/>
    <x v="4"/>
    <x v="2"/>
    <x v="3"/>
    <n v="19500"/>
    <x v="20"/>
    <x v="90"/>
  </r>
  <r>
    <x v="91"/>
    <x v="4"/>
    <x v="4"/>
    <x v="3"/>
    <n v="2999"/>
    <x v="1"/>
    <x v="91"/>
  </r>
  <r>
    <x v="92"/>
    <x v="1"/>
    <x v="1"/>
    <x v="4"/>
    <n v="1250"/>
    <x v="28"/>
    <x v="92"/>
  </r>
  <r>
    <x v="93"/>
    <x v="1"/>
    <x v="3"/>
    <x v="0"/>
    <n v="120"/>
    <x v="8"/>
    <x v="93"/>
  </r>
  <r>
    <x v="94"/>
    <x v="2"/>
    <x v="0"/>
    <x v="3"/>
    <n v="1450"/>
    <x v="21"/>
    <x v="94"/>
  </r>
  <r>
    <x v="95"/>
    <x v="4"/>
    <x v="4"/>
    <x v="0"/>
    <n v="89999"/>
    <x v="26"/>
    <x v="37"/>
  </r>
  <r>
    <x v="96"/>
    <x v="5"/>
    <x v="2"/>
    <x v="2"/>
    <n v="1999"/>
    <x v="4"/>
    <x v="95"/>
  </r>
  <r>
    <x v="97"/>
    <x v="5"/>
    <x v="5"/>
    <x v="3"/>
    <n v="2900"/>
    <x v="38"/>
    <x v="96"/>
  </r>
  <r>
    <x v="98"/>
    <x v="4"/>
    <x v="4"/>
    <x v="4"/>
    <n v="700"/>
    <x v="0"/>
    <x v="97"/>
  </r>
  <r>
    <x v="99"/>
    <x v="3"/>
    <x v="3"/>
    <x v="3"/>
    <n v="200"/>
    <x v="8"/>
    <x v="98"/>
  </r>
  <r>
    <x v="100"/>
    <x v="2"/>
    <x v="2"/>
    <x v="1"/>
    <n v="49000"/>
    <x v="29"/>
    <x v="99"/>
  </r>
  <r>
    <x v="101"/>
    <x v="0"/>
    <x v="0"/>
    <x v="4"/>
    <n v="5599"/>
    <x v="35"/>
    <x v="100"/>
  </r>
  <r>
    <x v="102"/>
    <x v="3"/>
    <x v="3"/>
    <x v="3"/>
    <n v="13500"/>
    <x v="6"/>
    <x v="101"/>
  </r>
  <r>
    <x v="103"/>
    <x v="2"/>
    <x v="4"/>
    <x v="3"/>
    <n v="79999"/>
    <x v="7"/>
    <x v="102"/>
  </r>
  <r>
    <x v="104"/>
    <x v="4"/>
    <x v="2"/>
    <x v="2"/>
    <n v="75200"/>
    <x v="39"/>
    <x v="103"/>
  </r>
  <r>
    <x v="105"/>
    <x v="4"/>
    <x v="1"/>
    <x v="0"/>
    <n v="550"/>
    <x v="32"/>
    <x v="104"/>
  </r>
  <r>
    <x v="106"/>
    <x v="0"/>
    <x v="0"/>
    <x v="0"/>
    <n v="499"/>
    <x v="0"/>
    <x v="0"/>
  </r>
  <r>
    <x v="107"/>
    <x v="0"/>
    <x v="0"/>
    <x v="1"/>
    <n v="5599"/>
    <x v="1"/>
    <x v="1"/>
  </r>
  <r>
    <x v="108"/>
    <x v="2"/>
    <x v="1"/>
    <x v="2"/>
    <n v="1450"/>
    <x v="2"/>
    <x v="2"/>
  </r>
  <r>
    <x v="109"/>
    <x v="3"/>
    <x v="3"/>
    <x v="0"/>
    <n v="999"/>
    <x v="30"/>
    <x v="105"/>
  </r>
  <r>
    <x v="110"/>
    <x v="3"/>
    <x v="3"/>
    <x v="3"/>
    <n v="100"/>
    <x v="3"/>
    <x v="106"/>
  </r>
  <r>
    <x v="111"/>
    <x v="2"/>
    <x v="0"/>
    <x v="3"/>
    <n v="2550"/>
    <x v="4"/>
    <x v="5"/>
  </r>
  <r>
    <x v="112"/>
    <x v="4"/>
    <x v="4"/>
    <x v="3"/>
    <n v="33000"/>
    <x v="5"/>
    <x v="6"/>
  </r>
  <r>
    <x v="113"/>
    <x v="1"/>
    <x v="0"/>
    <x v="2"/>
    <n v="800"/>
    <x v="6"/>
    <x v="107"/>
  </r>
  <r>
    <x v="114"/>
    <x v="5"/>
    <x v="5"/>
    <x v="2"/>
    <n v="990"/>
    <x v="7"/>
    <x v="8"/>
  </r>
  <r>
    <x v="115"/>
    <x v="0"/>
    <x v="0"/>
    <x v="0"/>
    <n v="5599"/>
    <x v="8"/>
    <x v="9"/>
  </r>
  <r>
    <x v="116"/>
    <x v="4"/>
    <x v="4"/>
    <x v="0"/>
    <n v="499"/>
    <x v="6"/>
    <x v="10"/>
  </r>
  <r>
    <x v="117"/>
    <x v="5"/>
    <x v="5"/>
    <x v="0"/>
    <n v="1999"/>
    <x v="9"/>
    <x v="11"/>
  </r>
  <r>
    <x v="118"/>
    <x v="2"/>
    <x v="3"/>
    <x v="0"/>
    <n v="200"/>
    <x v="10"/>
    <x v="108"/>
  </r>
  <r>
    <x v="119"/>
    <x v="5"/>
    <x v="5"/>
    <x v="2"/>
    <n v="1499"/>
    <x v="11"/>
    <x v="13"/>
  </r>
  <r>
    <x v="120"/>
    <x v="3"/>
    <x v="3"/>
    <x v="4"/>
    <n v="120"/>
    <x v="12"/>
    <x v="14"/>
  </r>
  <r>
    <x v="121"/>
    <x v="1"/>
    <x v="4"/>
    <x v="4"/>
    <n v="11999"/>
    <x v="13"/>
    <x v="15"/>
  </r>
  <r>
    <x v="122"/>
    <x v="1"/>
    <x v="4"/>
    <x v="1"/>
    <n v="999"/>
    <x v="11"/>
    <x v="109"/>
  </r>
  <r>
    <x v="123"/>
    <x v="2"/>
    <x v="4"/>
    <x v="2"/>
    <n v="2999"/>
    <x v="14"/>
    <x v="17"/>
  </r>
  <r>
    <x v="124"/>
    <x v="3"/>
    <x v="2"/>
    <x v="1"/>
    <n v="47800"/>
    <x v="7"/>
    <x v="110"/>
  </r>
  <r>
    <x v="125"/>
    <x v="4"/>
    <x v="2"/>
    <x v="0"/>
    <n v="22000"/>
    <x v="15"/>
    <x v="19"/>
  </r>
  <r>
    <x v="126"/>
    <x v="4"/>
    <x v="1"/>
    <x v="1"/>
    <n v="1250"/>
    <x v="16"/>
    <x v="20"/>
  </r>
  <r>
    <x v="127"/>
    <x v="3"/>
    <x v="3"/>
    <x v="2"/>
    <n v="999"/>
    <x v="17"/>
    <x v="21"/>
  </r>
  <r>
    <x v="128"/>
    <x v="4"/>
    <x v="1"/>
    <x v="4"/>
    <n v="1450"/>
    <x v="18"/>
    <x v="22"/>
  </r>
  <r>
    <x v="129"/>
    <x v="4"/>
    <x v="1"/>
    <x v="4"/>
    <n v="23999"/>
    <x v="10"/>
    <x v="23"/>
  </r>
  <r>
    <x v="130"/>
    <x v="1"/>
    <x v="2"/>
    <x v="4"/>
    <n v="92000"/>
    <x v="19"/>
    <x v="111"/>
  </r>
  <r>
    <x v="131"/>
    <x v="5"/>
    <x v="5"/>
    <x v="2"/>
    <n v="699"/>
    <x v="20"/>
    <x v="25"/>
  </r>
  <r>
    <x v="132"/>
    <x v="0"/>
    <x v="0"/>
    <x v="0"/>
    <n v="2550"/>
    <x v="21"/>
    <x v="26"/>
  </r>
  <r>
    <x v="133"/>
    <x v="2"/>
    <x v="4"/>
    <x v="4"/>
    <n v="22000"/>
    <x v="9"/>
    <x v="27"/>
  </r>
  <r>
    <x v="134"/>
    <x v="4"/>
    <x v="4"/>
    <x v="0"/>
    <n v="22000"/>
    <x v="12"/>
    <x v="28"/>
  </r>
  <r>
    <x v="135"/>
    <x v="1"/>
    <x v="5"/>
    <x v="2"/>
    <n v="1499"/>
    <x v="22"/>
    <x v="29"/>
  </r>
  <r>
    <x v="136"/>
    <x v="3"/>
    <x v="3"/>
    <x v="4"/>
    <n v="120"/>
    <x v="21"/>
    <x v="30"/>
  </r>
  <r>
    <x v="137"/>
    <x v="0"/>
    <x v="0"/>
    <x v="1"/>
    <n v="1450"/>
    <x v="23"/>
    <x v="31"/>
  </r>
  <r>
    <x v="138"/>
    <x v="5"/>
    <x v="5"/>
    <x v="2"/>
    <n v="1999"/>
    <x v="24"/>
    <x v="32"/>
  </r>
  <r>
    <x v="139"/>
    <x v="1"/>
    <x v="0"/>
    <x v="5"/>
    <n v="800"/>
    <x v="14"/>
    <x v="33"/>
  </r>
  <r>
    <x v="140"/>
    <x v="3"/>
    <x v="3"/>
    <x v="4"/>
    <n v="100"/>
    <x v="8"/>
    <x v="112"/>
  </r>
  <r>
    <x v="141"/>
    <x v="0"/>
    <x v="2"/>
    <x v="4"/>
    <n v="13999"/>
    <x v="25"/>
    <x v="35"/>
  </r>
  <r>
    <x v="142"/>
    <x v="2"/>
    <x v="4"/>
    <x v="3"/>
    <n v="22000"/>
    <x v="20"/>
    <x v="36"/>
  </r>
  <r>
    <x v="143"/>
    <x v="4"/>
    <x v="4"/>
    <x v="5"/>
    <n v="89999"/>
    <x v="26"/>
    <x v="37"/>
  </r>
  <r>
    <x v="144"/>
    <x v="0"/>
    <x v="0"/>
    <x v="3"/>
    <n v="13999"/>
    <x v="21"/>
    <x v="38"/>
  </r>
  <r>
    <x v="145"/>
    <x v="1"/>
    <x v="5"/>
    <x v="2"/>
    <n v="2900"/>
    <x v="23"/>
    <x v="39"/>
  </r>
  <r>
    <x v="146"/>
    <x v="4"/>
    <x v="4"/>
    <x v="3"/>
    <n v="33000"/>
    <x v="22"/>
    <x v="40"/>
  </r>
  <r>
    <x v="147"/>
    <x v="1"/>
    <x v="4"/>
    <x v="1"/>
    <n v="22000"/>
    <x v="13"/>
    <x v="41"/>
  </r>
  <r>
    <x v="148"/>
    <x v="1"/>
    <x v="5"/>
    <x v="1"/>
    <n v="45000"/>
    <x v="0"/>
    <x v="113"/>
  </r>
  <r>
    <x v="149"/>
    <x v="4"/>
    <x v="2"/>
    <x v="2"/>
    <n v="499"/>
    <x v="9"/>
    <x v="43"/>
  </r>
  <r>
    <x v="150"/>
    <x v="5"/>
    <x v="5"/>
    <x v="3"/>
    <n v="590"/>
    <x v="14"/>
    <x v="44"/>
  </r>
  <r>
    <x v="151"/>
    <x v="2"/>
    <x v="5"/>
    <x v="1"/>
    <n v="590"/>
    <x v="15"/>
    <x v="45"/>
  </r>
  <r>
    <x v="152"/>
    <x v="3"/>
    <x v="3"/>
    <x v="0"/>
    <n v="12000"/>
    <x v="7"/>
    <x v="114"/>
  </r>
  <r>
    <x v="153"/>
    <x v="4"/>
    <x v="4"/>
    <x v="5"/>
    <n v="52000"/>
    <x v="27"/>
    <x v="47"/>
  </r>
  <r>
    <x v="154"/>
    <x v="4"/>
    <x v="1"/>
    <x v="3"/>
    <n v="7999"/>
    <x v="28"/>
    <x v="48"/>
  </r>
  <r>
    <x v="155"/>
    <x v="1"/>
    <x v="1"/>
    <x v="4"/>
    <n v="5000"/>
    <x v="7"/>
    <x v="115"/>
  </r>
  <r>
    <x v="156"/>
    <x v="4"/>
    <x v="4"/>
    <x v="3"/>
    <n v="79999"/>
    <x v="12"/>
    <x v="50"/>
  </r>
  <r>
    <x v="157"/>
    <x v="5"/>
    <x v="2"/>
    <x v="2"/>
    <n v="1999"/>
    <x v="25"/>
    <x v="51"/>
  </r>
  <r>
    <x v="158"/>
    <x v="4"/>
    <x v="4"/>
    <x v="3"/>
    <n v="89999"/>
    <x v="29"/>
    <x v="52"/>
  </r>
  <r>
    <x v="159"/>
    <x v="2"/>
    <x v="4"/>
    <x v="0"/>
    <n v="799"/>
    <x v="2"/>
    <x v="116"/>
  </r>
  <r>
    <x v="160"/>
    <x v="4"/>
    <x v="4"/>
    <x v="1"/>
    <n v="3990"/>
    <x v="30"/>
    <x v="54"/>
  </r>
  <r>
    <x v="161"/>
    <x v="1"/>
    <x v="4"/>
    <x v="2"/>
    <n v="52000"/>
    <x v="29"/>
    <x v="55"/>
  </r>
  <r>
    <x v="162"/>
    <x v="1"/>
    <x v="0"/>
    <x v="3"/>
    <n v="13999"/>
    <x v="31"/>
    <x v="56"/>
  </r>
  <r>
    <x v="163"/>
    <x v="3"/>
    <x v="3"/>
    <x v="2"/>
    <n v="14500"/>
    <x v="29"/>
    <x v="117"/>
  </r>
  <r>
    <x v="164"/>
    <x v="4"/>
    <x v="1"/>
    <x v="5"/>
    <n v="23999"/>
    <x v="32"/>
    <x v="58"/>
  </r>
  <r>
    <x v="165"/>
    <x v="4"/>
    <x v="1"/>
    <x v="3"/>
    <n v="1250"/>
    <x v="30"/>
    <x v="118"/>
  </r>
  <r>
    <x v="166"/>
    <x v="5"/>
    <x v="2"/>
    <x v="3"/>
    <n v="35600"/>
    <x v="22"/>
    <x v="119"/>
  </r>
  <r>
    <x v="167"/>
    <x v="3"/>
    <x v="3"/>
    <x v="3"/>
    <n v="65000"/>
    <x v="4"/>
    <x v="61"/>
  </r>
  <r>
    <x v="168"/>
    <x v="2"/>
    <x v="3"/>
    <x v="5"/>
    <n v="12000"/>
    <x v="21"/>
    <x v="120"/>
  </r>
  <r>
    <x v="169"/>
    <x v="5"/>
    <x v="5"/>
    <x v="3"/>
    <n v="699"/>
    <x v="16"/>
    <x v="63"/>
  </r>
  <r>
    <x v="170"/>
    <x v="5"/>
    <x v="2"/>
    <x v="2"/>
    <n v="990"/>
    <x v="33"/>
    <x v="64"/>
  </r>
  <r>
    <x v="171"/>
    <x v="5"/>
    <x v="5"/>
    <x v="0"/>
    <n v="450"/>
    <x v="2"/>
    <x v="65"/>
  </r>
  <r>
    <x v="172"/>
    <x v="5"/>
    <x v="2"/>
    <x v="0"/>
    <n v="1499"/>
    <x v="26"/>
    <x v="66"/>
  </r>
  <r>
    <x v="173"/>
    <x v="0"/>
    <x v="0"/>
    <x v="4"/>
    <n v="499"/>
    <x v="5"/>
    <x v="67"/>
  </r>
  <r>
    <x v="174"/>
    <x v="4"/>
    <x v="1"/>
    <x v="4"/>
    <n v="960"/>
    <x v="22"/>
    <x v="121"/>
  </r>
  <r>
    <x v="175"/>
    <x v="2"/>
    <x v="2"/>
    <x v="3"/>
    <n v="5599"/>
    <x v="34"/>
    <x v="69"/>
  </r>
  <r>
    <x v="176"/>
    <x v="3"/>
    <x v="3"/>
    <x v="0"/>
    <n v="89"/>
    <x v="35"/>
    <x v="122"/>
  </r>
  <r>
    <x v="177"/>
    <x v="0"/>
    <x v="0"/>
    <x v="2"/>
    <n v="2550"/>
    <x v="23"/>
    <x v="71"/>
  </r>
  <r>
    <x v="178"/>
    <x v="0"/>
    <x v="0"/>
    <x v="0"/>
    <n v="1450"/>
    <x v="36"/>
    <x v="72"/>
  </r>
  <r>
    <x v="179"/>
    <x v="5"/>
    <x v="5"/>
    <x v="3"/>
    <n v="2900"/>
    <x v="16"/>
    <x v="73"/>
  </r>
  <r>
    <x v="180"/>
    <x v="3"/>
    <x v="3"/>
    <x v="4"/>
    <n v="120"/>
    <x v="16"/>
    <x v="123"/>
  </r>
  <r>
    <x v="181"/>
    <x v="4"/>
    <x v="4"/>
    <x v="4"/>
    <n v="52000"/>
    <x v="8"/>
    <x v="75"/>
  </r>
  <r>
    <x v="182"/>
    <x v="5"/>
    <x v="5"/>
    <x v="2"/>
    <n v="590"/>
    <x v="29"/>
    <x v="124"/>
  </r>
  <r>
    <x v="183"/>
    <x v="4"/>
    <x v="2"/>
    <x v="5"/>
    <n v="7999"/>
    <x v="30"/>
    <x v="77"/>
  </r>
  <r>
    <x v="184"/>
    <x v="1"/>
    <x v="3"/>
    <x v="2"/>
    <n v="999"/>
    <x v="31"/>
    <x v="125"/>
  </r>
  <r>
    <x v="185"/>
    <x v="2"/>
    <x v="5"/>
    <x v="0"/>
    <n v="990"/>
    <x v="14"/>
    <x v="79"/>
  </r>
  <r>
    <x v="186"/>
    <x v="4"/>
    <x v="4"/>
    <x v="0"/>
    <n v="11999"/>
    <x v="25"/>
    <x v="80"/>
  </r>
  <r>
    <x v="187"/>
    <x v="4"/>
    <x v="1"/>
    <x v="0"/>
    <n v="960"/>
    <x v="19"/>
    <x v="81"/>
  </r>
  <r>
    <x v="188"/>
    <x v="0"/>
    <x v="0"/>
    <x v="2"/>
    <n v="1450"/>
    <x v="37"/>
    <x v="82"/>
  </r>
  <r>
    <x v="189"/>
    <x v="5"/>
    <x v="5"/>
    <x v="1"/>
    <n v="450"/>
    <x v="36"/>
    <x v="126"/>
  </r>
  <r>
    <x v="190"/>
    <x v="1"/>
    <x v="5"/>
    <x v="2"/>
    <n v="1499"/>
    <x v="25"/>
    <x v="84"/>
  </r>
  <r>
    <x v="191"/>
    <x v="2"/>
    <x v="4"/>
    <x v="1"/>
    <n v="79999"/>
    <x v="9"/>
    <x v="85"/>
  </r>
  <r>
    <x v="192"/>
    <x v="2"/>
    <x v="3"/>
    <x v="4"/>
    <n v="999"/>
    <x v="20"/>
    <x v="86"/>
  </r>
  <r>
    <x v="193"/>
    <x v="4"/>
    <x v="4"/>
    <x v="0"/>
    <n v="52000"/>
    <x v="26"/>
    <x v="87"/>
  </r>
  <r>
    <x v="194"/>
    <x v="4"/>
    <x v="4"/>
    <x v="3"/>
    <n v="52000"/>
    <x v="6"/>
    <x v="88"/>
  </r>
  <r>
    <x v="195"/>
    <x v="4"/>
    <x v="1"/>
    <x v="2"/>
    <n v="960"/>
    <x v="1"/>
    <x v="89"/>
  </r>
  <r>
    <x v="196"/>
    <x v="4"/>
    <x v="1"/>
    <x v="2"/>
    <n v="1450"/>
    <x v="31"/>
    <x v="127"/>
  </r>
  <r>
    <x v="197"/>
    <x v="4"/>
    <x v="2"/>
    <x v="3"/>
    <n v="2999"/>
    <x v="1"/>
    <x v="91"/>
  </r>
  <r>
    <x v="198"/>
    <x v="2"/>
    <x v="1"/>
    <x v="4"/>
    <n v="1250"/>
    <x v="28"/>
    <x v="92"/>
  </r>
  <r>
    <x v="199"/>
    <x v="3"/>
    <x v="3"/>
    <x v="0"/>
    <n v="120"/>
    <x v="8"/>
    <x v="93"/>
  </r>
  <r>
    <x v="200"/>
    <x v="1"/>
    <x v="0"/>
    <x v="3"/>
    <n v="1450"/>
    <x v="21"/>
    <x v="94"/>
  </r>
  <r>
    <x v="201"/>
    <x v="1"/>
    <x v="4"/>
    <x v="0"/>
    <n v="89999"/>
    <x v="26"/>
    <x v="37"/>
  </r>
  <r>
    <x v="202"/>
    <x v="5"/>
    <x v="5"/>
    <x v="2"/>
    <n v="1999"/>
    <x v="4"/>
    <x v="95"/>
  </r>
  <r>
    <x v="203"/>
    <x v="5"/>
    <x v="2"/>
    <x v="3"/>
    <n v="2900"/>
    <x v="38"/>
    <x v="96"/>
  </r>
  <r>
    <x v="204"/>
    <x v="4"/>
    <x v="4"/>
    <x v="4"/>
    <n v="700"/>
    <x v="0"/>
    <x v="97"/>
  </r>
  <r>
    <x v="205"/>
    <x v="3"/>
    <x v="3"/>
    <x v="3"/>
    <n v="200"/>
    <x v="8"/>
    <x v="98"/>
  </r>
  <r>
    <x v="206"/>
    <x v="0"/>
    <x v="0"/>
    <x v="2"/>
    <n v="499"/>
    <x v="29"/>
    <x v="128"/>
  </r>
  <r>
    <x v="207"/>
    <x v="2"/>
    <x v="0"/>
    <x v="5"/>
    <n v="5599"/>
    <x v="35"/>
    <x v="100"/>
  </r>
  <r>
    <x v="208"/>
    <x v="1"/>
    <x v="3"/>
    <x v="3"/>
    <n v="100"/>
    <x v="6"/>
    <x v="129"/>
  </r>
  <r>
    <x v="209"/>
    <x v="4"/>
    <x v="2"/>
    <x v="3"/>
    <n v="79999"/>
    <x v="7"/>
    <x v="102"/>
  </r>
  <r>
    <x v="210"/>
    <x v="2"/>
    <x v="4"/>
    <x v="2"/>
    <n v="700"/>
    <x v="39"/>
    <x v="130"/>
  </r>
  <r>
    <x v="211"/>
    <x v="4"/>
    <x v="1"/>
    <x v="0"/>
    <n v="550"/>
    <x v="32"/>
    <x v="104"/>
  </r>
  <r>
    <x v="212"/>
    <x v="5"/>
    <x v="5"/>
    <x v="3"/>
    <n v="1499"/>
    <x v="22"/>
    <x v="29"/>
  </r>
  <r>
    <x v="213"/>
    <x v="3"/>
    <x v="3"/>
    <x v="4"/>
    <n v="120"/>
    <x v="21"/>
    <x v="30"/>
  </r>
  <r>
    <x v="214"/>
    <x v="0"/>
    <x v="0"/>
    <x v="1"/>
    <n v="1450"/>
    <x v="23"/>
    <x v="31"/>
  </r>
  <r>
    <x v="215"/>
    <x v="5"/>
    <x v="2"/>
    <x v="2"/>
    <n v="1999"/>
    <x v="24"/>
    <x v="32"/>
  </r>
  <r>
    <x v="216"/>
    <x v="0"/>
    <x v="0"/>
    <x v="3"/>
    <n v="800"/>
    <x v="14"/>
    <x v="33"/>
  </r>
  <r>
    <x v="217"/>
    <x v="2"/>
    <x v="3"/>
    <x v="4"/>
    <n v="100"/>
    <x v="8"/>
    <x v="112"/>
  </r>
  <r>
    <x v="218"/>
    <x v="0"/>
    <x v="0"/>
    <x v="2"/>
    <n v="13999"/>
    <x v="25"/>
    <x v="35"/>
  </r>
  <r>
    <x v="219"/>
    <x v="4"/>
    <x v="4"/>
    <x v="3"/>
    <n v="22000"/>
    <x v="20"/>
    <x v="36"/>
  </r>
  <r>
    <x v="220"/>
    <x v="4"/>
    <x v="4"/>
    <x v="5"/>
    <n v="89999"/>
    <x v="26"/>
    <x v="37"/>
  </r>
  <r>
    <x v="221"/>
    <x v="1"/>
    <x v="2"/>
    <x v="3"/>
    <n v="13999"/>
    <x v="21"/>
    <x v="38"/>
  </r>
  <r>
    <x v="222"/>
    <x v="2"/>
    <x v="5"/>
    <x v="2"/>
    <n v="2900"/>
    <x v="23"/>
    <x v="39"/>
  </r>
  <r>
    <x v="223"/>
    <x v="1"/>
    <x v="4"/>
    <x v="3"/>
    <n v="33000"/>
    <x v="22"/>
    <x v="40"/>
  </r>
  <r>
    <x v="224"/>
    <x v="4"/>
    <x v="2"/>
    <x v="1"/>
    <n v="22000"/>
    <x v="13"/>
    <x v="41"/>
  </r>
  <r>
    <x v="225"/>
    <x v="5"/>
    <x v="5"/>
    <x v="1"/>
    <n v="699"/>
    <x v="0"/>
    <x v="42"/>
  </r>
  <r>
    <x v="226"/>
    <x v="2"/>
    <x v="4"/>
    <x v="2"/>
    <n v="499"/>
    <x v="9"/>
    <x v="43"/>
  </r>
  <r>
    <x v="227"/>
    <x v="5"/>
    <x v="5"/>
    <x v="3"/>
    <n v="590"/>
    <x v="14"/>
    <x v="44"/>
  </r>
  <r>
    <x v="228"/>
    <x v="5"/>
    <x v="5"/>
    <x v="1"/>
    <n v="590"/>
    <x v="15"/>
    <x v="45"/>
  </r>
  <r>
    <x v="229"/>
    <x v="3"/>
    <x v="3"/>
    <x v="0"/>
    <n v="120"/>
    <x v="7"/>
    <x v="46"/>
  </r>
  <r>
    <x v="230"/>
    <x v="2"/>
    <x v="4"/>
    <x v="5"/>
    <n v="52000"/>
    <x v="27"/>
    <x v="47"/>
  </r>
  <r>
    <x v="231"/>
    <x v="4"/>
    <x v="2"/>
    <x v="3"/>
    <n v="7999"/>
    <x v="28"/>
    <x v="48"/>
  </r>
  <r>
    <x v="232"/>
    <x v="2"/>
    <x v="1"/>
    <x v="4"/>
    <n v="550"/>
    <x v="7"/>
    <x v="49"/>
  </r>
  <r>
    <x v="233"/>
    <x v="4"/>
    <x v="4"/>
    <x v="3"/>
    <n v="79999"/>
    <x v="12"/>
    <x v="50"/>
  </r>
  <r>
    <x v="234"/>
    <x v="1"/>
    <x v="2"/>
    <x v="1"/>
    <n v="1999"/>
    <x v="25"/>
    <x v="51"/>
  </r>
  <r>
    <x v="235"/>
    <x v="2"/>
    <x v="4"/>
    <x v="3"/>
    <n v="89999"/>
    <x v="29"/>
    <x v="52"/>
  </r>
  <r>
    <x v="236"/>
    <x v="4"/>
    <x v="4"/>
    <x v="0"/>
    <n v="799"/>
    <x v="2"/>
    <x v="116"/>
  </r>
  <r>
    <x v="237"/>
    <x v="4"/>
    <x v="4"/>
    <x v="5"/>
    <n v="3990"/>
    <x v="30"/>
    <x v="54"/>
  </r>
  <r>
    <x v="238"/>
    <x v="2"/>
    <x v="2"/>
    <x v="2"/>
    <n v="52000"/>
    <x v="29"/>
    <x v="55"/>
  </r>
  <r>
    <x v="239"/>
    <x v="0"/>
    <x v="0"/>
    <x v="3"/>
    <n v="13999"/>
    <x v="31"/>
    <x v="56"/>
  </r>
  <r>
    <x v="240"/>
    <x v="2"/>
    <x v="3"/>
    <x v="2"/>
    <n v="120"/>
    <x v="29"/>
    <x v="57"/>
  </r>
  <r>
    <x v="241"/>
    <x v="4"/>
    <x v="1"/>
    <x v="0"/>
    <n v="23999"/>
    <x v="32"/>
    <x v="58"/>
  </r>
  <r>
    <x v="242"/>
    <x v="2"/>
    <x v="1"/>
    <x v="3"/>
    <n v="1250"/>
    <x v="30"/>
    <x v="118"/>
  </r>
  <r>
    <x v="243"/>
    <x v="5"/>
    <x v="2"/>
    <x v="3"/>
    <n v="45000"/>
    <x v="22"/>
    <x v="131"/>
  </r>
  <r>
    <x v="244"/>
    <x v="1"/>
    <x v="3"/>
    <x v="2"/>
    <n v="120"/>
    <x v="4"/>
    <x v="132"/>
  </r>
  <r>
    <x v="245"/>
    <x v="2"/>
    <x v="2"/>
    <x v="4"/>
    <n v="25600"/>
    <x v="21"/>
    <x v="133"/>
  </r>
  <r>
    <x v="246"/>
    <x v="5"/>
    <x v="5"/>
    <x v="3"/>
    <n v="699"/>
    <x v="16"/>
    <x v="63"/>
  </r>
  <r>
    <x v="247"/>
    <x v="5"/>
    <x v="2"/>
    <x v="2"/>
    <n v="99620"/>
    <x v="33"/>
    <x v="134"/>
  </r>
  <r>
    <x v="248"/>
    <x v="2"/>
    <x v="5"/>
    <x v="5"/>
    <n v="450"/>
    <x v="2"/>
    <x v="65"/>
  </r>
  <r>
    <x v="249"/>
    <x v="5"/>
    <x v="5"/>
    <x v="2"/>
    <n v="1499"/>
    <x v="26"/>
    <x v="66"/>
  </r>
  <r>
    <x v="250"/>
    <x v="0"/>
    <x v="2"/>
    <x v="4"/>
    <n v="49500"/>
    <x v="5"/>
    <x v="135"/>
  </r>
  <r>
    <x v="251"/>
    <x v="1"/>
    <x v="1"/>
    <x v="4"/>
    <n v="960"/>
    <x v="22"/>
    <x v="121"/>
  </r>
  <r>
    <x v="252"/>
    <x v="2"/>
    <x v="0"/>
    <x v="3"/>
    <n v="5599"/>
    <x v="34"/>
    <x v="69"/>
  </r>
  <r>
    <x v="253"/>
    <x v="3"/>
    <x v="3"/>
    <x v="0"/>
    <n v="89"/>
    <x v="35"/>
    <x v="122"/>
  </r>
  <r>
    <x v="254"/>
    <x v="0"/>
    <x v="0"/>
    <x v="5"/>
    <n v="2550"/>
    <x v="23"/>
    <x v="71"/>
  </r>
  <r>
    <x v="255"/>
    <x v="2"/>
    <x v="2"/>
    <x v="0"/>
    <n v="14500"/>
    <x v="36"/>
    <x v="136"/>
  </r>
  <r>
    <x v="256"/>
    <x v="5"/>
    <x v="5"/>
    <x v="3"/>
    <n v="2900"/>
    <x v="16"/>
    <x v="73"/>
  </r>
  <r>
    <x v="257"/>
    <x v="3"/>
    <x v="3"/>
    <x v="4"/>
    <n v="120"/>
    <x v="16"/>
    <x v="123"/>
  </r>
  <r>
    <x v="258"/>
    <x v="4"/>
    <x v="2"/>
    <x v="2"/>
    <n v="52000"/>
    <x v="8"/>
    <x v="75"/>
  </r>
  <r>
    <x v="259"/>
    <x v="1"/>
    <x v="5"/>
    <x v="1"/>
    <n v="590"/>
    <x v="29"/>
    <x v="124"/>
  </r>
  <r>
    <x v="260"/>
    <x v="4"/>
    <x v="1"/>
    <x v="4"/>
    <n v="7999"/>
    <x v="30"/>
    <x v="77"/>
  </r>
  <r>
    <x v="261"/>
    <x v="2"/>
    <x v="3"/>
    <x v="1"/>
    <n v="999"/>
    <x v="31"/>
    <x v="125"/>
  </r>
  <r>
    <x v="262"/>
    <x v="5"/>
    <x v="2"/>
    <x v="2"/>
    <n v="990"/>
    <x v="14"/>
    <x v="79"/>
  </r>
  <r>
    <x v="263"/>
    <x v="2"/>
    <x v="4"/>
    <x v="0"/>
    <n v="11999"/>
    <x v="25"/>
    <x v="80"/>
  </r>
  <r>
    <x v="264"/>
    <x v="1"/>
    <x v="1"/>
    <x v="0"/>
    <n v="960"/>
    <x v="19"/>
    <x v="81"/>
  </r>
  <r>
    <x v="265"/>
    <x v="0"/>
    <x v="0"/>
    <x v="2"/>
    <n v="1450"/>
    <x v="37"/>
    <x v="82"/>
  </r>
  <r>
    <x v="266"/>
    <x v="5"/>
    <x v="5"/>
    <x v="1"/>
    <n v="450"/>
    <x v="36"/>
    <x v="126"/>
  </r>
  <r>
    <x v="267"/>
    <x v="2"/>
    <x v="2"/>
    <x v="1"/>
    <n v="1499"/>
    <x v="25"/>
    <x v="84"/>
  </r>
  <r>
    <x v="268"/>
    <x v="4"/>
    <x v="4"/>
    <x v="1"/>
    <n v="79999"/>
    <x v="9"/>
    <x v="85"/>
  </r>
  <r>
    <x v="269"/>
    <x v="2"/>
    <x v="3"/>
    <x v="4"/>
    <n v="999"/>
    <x v="20"/>
    <x v="86"/>
  </r>
  <r>
    <x v="270"/>
    <x v="4"/>
    <x v="4"/>
    <x v="0"/>
    <n v="52000"/>
    <x v="26"/>
    <x v="87"/>
  </r>
  <r>
    <x v="271"/>
    <x v="1"/>
    <x v="4"/>
    <x v="3"/>
    <n v="52000"/>
    <x v="6"/>
    <x v="88"/>
  </r>
  <r>
    <x v="272"/>
    <x v="2"/>
    <x v="1"/>
    <x v="3"/>
    <n v="960"/>
    <x v="1"/>
    <x v="89"/>
  </r>
  <r>
    <x v="273"/>
    <x v="4"/>
    <x v="1"/>
    <x v="2"/>
    <n v="1450"/>
    <x v="31"/>
    <x v="127"/>
  </r>
  <r>
    <x v="274"/>
    <x v="5"/>
    <x v="5"/>
    <x v="5"/>
    <n v="2500"/>
    <x v="40"/>
    <x v="137"/>
  </r>
  <r>
    <x v="275"/>
    <x v="1"/>
    <x v="2"/>
    <x v="5"/>
    <n v="86540"/>
    <x v="16"/>
    <x v="138"/>
  </r>
  <r>
    <x v="276"/>
    <x v="3"/>
    <x v="3"/>
    <x v="5"/>
    <n v="550"/>
    <x v="2"/>
    <x v="139"/>
  </r>
  <r>
    <x v="277"/>
    <x v="2"/>
    <x v="4"/>
    <x v="5"/>
    <n v="65400"/>
    <x v="37"/>
    <x v="140"/>
  </r>
  <r>
    <x v="278"/>
    <x v="6"/>
    <x v="6"/>
    <x v="6"/>
    <m/>
    <x v="41"/>
    <x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B959D-27B5-403D-B21D-A14E0F17AF8B}" name="PivotTable1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BO3:BP10"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axis="axisRow" showAll="0">
      <items count="8">
        <item x="4"/>
        <item x="2"/>
        <item x="1"/>
        <item x="3"/>
        <item x="5"/>
        <item x="0"/>
        <item x="6"/>
        <item t="default"/>
      </items>
    </pivotField>
    <pivotField showAll="0" sortType="de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pivotField dataField="1" showAll="0"/>
    <pivotField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5">
    <chartFormat chart="25"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9" format="16"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EAA7A5-0EFE-4542-A7D1-5AF805DCB788}" name="PivotTable1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BV11:BW15"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axis="axisRow" showAll="0" measureFilter="1" sortType="ascending">
      <items count="8">
        <item x="4"/>
        <item x="2"/>
        <item x="1"/>
        <item x="3"/>
        <item x="5"/>
        <item x="0"/>
        <item x="6"/>
        <item t="default"/>
      </items>
      <autoSortScope>
        <pivotArea dataOnly="0" outline="0" fieldPosition="0">
          <references count="1">
            <reference field="4294967294" count="1" selected="0">
              <x v="0"/>
            </reference>
          </references>
        </pivotArea>
      </autoSortScope>
    </pivotField>
    <pivotField showAll="0"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pivotField dataField="1" showAll="0"/>
    <pivotField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5"/>
    </i>
    <i>
      <x v="4"/>
    </i>
    <i t="grand">
      <x/>
    </i>
  </rowItems>
  <colItems count="1">
    <i/>
  </colItems>
  <dataFields count="1">
    <dataField name="Sum of Units" fld="5" baseField="0" baseItem="0"/>
  </dataFields>
  <chartFormats count="5">
    <chartFormat chart="27"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 fld="1" type="count" evalOrder="-1" id="11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A95F35-B97B-473B-81F8-ACE1BF985E8E}" name="PivotTable10"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9">
  <location ref="BJ10:BK14"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axis="axisRow" showAll="0" measureFilter="1" sortType="ascending">
      <items count="8">
        <item x="4"/>
        <item x="2"/>
        <item x="1"/>
        <item x="3"/>
        <item x="5"/>
        <item x="0"/>
        <item x="6"/>
        <item t="default"/>
      </items>
      <autoSortScope>
        <pivotArea dataOnly="0" outline="0" fieldPosition="0">
          <references count="1">
            <reference field="4294967294" count="1" selected="0">
              <x v="0"/>
            </reference>
          </references>
        </pivotArea>
      </autoSortScope>
    </pivotField>
    <pivotField showAll="0"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pivotField dataField="1" showAll="0"/>
    <pivotField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5"/>
    </i>
    <i>
      <x v="4"/>
    </i>
    <i t="grand">
      <x/>
    </i>
  </rowItems>
  <colItems count="1">
    <i/>
  </colItems>
  <dataFields count="1">
    <dataField name="Sum of Units" fld="5" baseField="0" baseItem="0"/>
  </dataFields>
  <chartFormats count="5">
    <chartFormat chart="27"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11" iMeasureFld="0">
      <autoFilter ref="A1">
        <filterColumn colId="0">
          <top10 top="0" val="3" filterVal="3"/>
        </filterColumn>
      </autoFilter>
    </filter>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DEC8D1-7A04-4CD0-A3EA-C48B0C2EAF74}" name="PivotTable9"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BB9:BC13"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axis="axisRow" showAll="0" measureFilter="1" sortType="ascending">
      <items count="8">
        <item x="4"/>
        <item x="2"/>
        <item x="1"/>
        <item x="3"/>
        <item x="5"/>
        <item x="0"/>
        <item x="6"/>
        <item t="default"/>
      </items>
      <autoSortScope>
        <pivotArea dataOnly="0" outline="0" fieldPosition="0">
          <references count="1">
            <reference field="4294967294" count="1" selected="0">
              <x v="0"/>
            </reference>
          </references>
        </pivotArea>
      </autoSortScope>
    </pivotField>
    <pivotField showAll="0"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pivotField dataField="1" showAll="0"/>
    <pivotField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2"/>
    </i>
    <i>
      <x v="1"/>
    </i>
    <i>
      <x/>
    </i>
    <i t="grand">
      <x/>
    </i>
  </rowItems>
  <colItems count="1">
    <i/>
  </colItems>
  <dataFields count="1">
    <dataField name="Sum of Units" fld="5" baseField="0" baseItem="0"/>
  </dataFields>
  <chartFormats count="5">
    <chartFormat chart="27" format="0"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3" format="2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 fld="1" type="count" evalOrder="-1" id="110"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5A7A25-F2DA-45E8-8915-A0A7FBB8362A}" name="PivotTable8"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G6:AH13"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axis="axisRow" showAll="0">
      <items count="8">
        <item x="2"/>
        <item x="0"/>
        <item x="4"/>
        <item x="1"/>
        <item x="3"/>
        <item x="5"/>
        <item x="6"/>
        <item t="default"/>
      </items>
    </pivotField>
    <pivotField showAll="0">
      <items count="8">
        <item x="2"/>
        <item x="4"/>
        <item x="0"/>
        <item x="5"/>
        <item x="3"/>
        <item x="1"/>
        <item x="6"/>
        <item t="default"/>
      </items>
    </pivotField>
    <pivotField showAll="0"/>
    <pivotField dataField="1" showAll="0">
      <items count="43">
        <item x="9"/>
        <item x="16"/>
        <item x="19"/>
        <item x="10"/>
        <item x="7"/>
        <item x="12"/>
        <item x="3"/>
        <item x="33"/>
        <item x="18"/>
        <item x="28"/>
        <item x="26"/>
        <item x="22"/>
        <item x="13"/>
        <item x="37"/>
        <item x="23"/>
        <item x="21"/>
        <item x="24"/>
        <item x="32"/>
        <item x="5"/>
        <item x="11"/>
        <item x="17"/>
        <item x="29"/>
        <item x="30"/>
        <item x="1"/>
        <item x="31"/>
        <item x="34"/>
        <item x="35"/>
        <item x="25"/>
        <item x="39"/>
        <item x="6"/>
        <item x="27"/>
        <item x="8"/>
        <item x="15"/>
        <item x="14"/>
        <item x="2"/>
        <item x="20"/>
        <item x="36"/>
        <item x="4"/>
        <item x="38"/>
        <item x="0"/>
        <item x="40"/>
        <item x="41"/>
        <item t="default"/>
      </items>
    </pivotField>
    <pivotField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75C337-8942-49AA-ABD7-826806B69B1E}" name="PivotTable7"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0">
  <location ref="P4:Q11"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axis="axisRow" showAll="0" sortType="de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pivotField dataField="1" showAll="0"/>
    <pivotField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v="2"/>
    </i>
    <i>
      <x/>
    </i>
    <i>
      <x v="5"/>
    </i>
    <i>
      <x v="1"/>
    </i>
    <i>
      <x v="4"/>
    </i>
    <i>
      <x v="3"/>
    </i>
    <i t="grand">
      <x/>
    </i>
  </rowItems>
  <colItems count="1">
    <i/>
  </colItems>
  <dataFields count="1">
    <dataField name="Sum of Units" fld="5" baseField="0" baseItem="0"/>
  </dataFields>
  <chartFormats count="8">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2"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2" count="1" selected="0">
            <x v="1"/>
          </reference>
        </references>
      </pivotArea>
    </chartFormat>
    <chartFormat chart="27" format="6">
      <pivotArea type="data" outline="0" fieldPosition="0">
        <references count="2">
          <reference field="4294967294" count="1" selected="0">
            <x v="0"/>
          </reference>
          <reference field="2" count="1" selected="0">
            <x v="4"/>
          </reference>
        </references>
      </pivotArea>
    </chartFormat>
    <chartFormat chart="27" format="7">
      <pivotArea type="data" outline="0" fieldPosition="0">
        <references count="2">
          <reference field="4294967294" count="1" selected="0">
            <x v="0"/>
          </reference>
          <reference field="2" count="1" selected="0">
            <x v="5"/>
          </reference>
        </references>
      </pivotArea>
    </chartFormat>
    <chartFormat chart="27" format="8">
      <pivotArea type="data" outline="0" fieldPosition="0">
        <references count="2">
          <reference field="4294967294" count="1" selected="0">
            <x v="0"/>
          </reference>
          <reference field="2" count="1" selected="0">
            <x v="0"/>
          </reference>
        </references>
      </pivotArea>
    </chartFormat>
    <chartFormat chart="27" format="9">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ED516E-E399-4E60-AF8D-C584D63DAEF8}" name="PivotTable6"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S8:T15"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axis="axisRow" showAll="0" sortType="ascending">
      <items count="8">
        <item x="2"/>
        <item x="0"/>
        <item x="4"/>
        <item x="1"/>
        <item x="3"/>
        <item x="5"/>
        <item x="6"/>
        <item t="default"/>
      </items>
      <autoSortScope>
        <pivotArea dataOnly="0" outline="0" fieldPosition="0">
          <references count="1">
            <reference field="4294967294" count="1" selected="0">
              <x v="0"/>
            </reference>
          </references>
        </pivotArea>
      </autoSortScope>
    </pivotField>
    <pivotField showAll="0">
      <items count="8">
        <item x="2"/>
        <item x="4"/>
        <item x="0"/>
        <item x="5"/>
        <item x="3"/>
        <item x="1"/>
        <item x="6"/>
        <item t="default"/>
      </items>
    </pivotField>
    <pivotField showAll="0"/>
    <pivotField dataField="1" showAll="0"/>
    <pivotField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v="3"/>
    </i>
    <i>
      <x v="4"/>
    </i>
    <i>
      <x v="1"/>
    </i>
    <i>
      <x v="5"/>
    </i>
    <i>
      <x/>
    </i>
    <i>
      <x v="2"/>
    </i>
    <i t="grand">
      <x/>
    </i>
  </rowItems>
  <colItems count="1">
    <i/>
  </colItems>
  <dataFields count="1">
    <dataField name="Sum of Units" fld="5" baseField="0" baseItem="0"/>
  </dataFields>
  <chartFormats count="10">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2" count="1" selected="0">
            <x v="0"/>
          </reference>
        </references>
      </pivotArea>
    </chartFormat>
    <chartFormat chart="27" format="2">
      <pivotArea type="data" outline="0" fieldPosition="0">
        <references count="2">
          <reference field="4294967294" count="1" selected="0">
            <x v="0"/>
          </reference>
          <reference field="2" count="1" selected="0">
            <x v="2"/>
          </reference>
        </references>
      </pivotArea>
    </chartFormat>
    <chartFormat chart="27" format="3">
      <pivotArea type="data" outline="0" fieldPosition="0">
        <references count="2">
          <reference field="4294967294" count="1" selected="0">
            <x v="0"/>
          </reference>
          <reference field="2" count="1" selected="0">
            <x v="5"/>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2" count="1" selected="0">
            <x v="0"/>
          </reference>
        </references>
      </pivotArea>
    </chartFormat>
    <chartFormat chart="31" format="10">
      <pivotArea type="data" outline="0" fieldPosition="0">
        <references count="2">
          <reference field="4294967294" count="1" selected="0">
            <x v="0"/>
          </reference>
          <reference field="2" count="1" selected="0">
            <x v="2"/>
          </reference>
        </references>
      </pivotArea>
    </chartFormat>
    <chartFormat chart="31" format="11">
      <pivotArea type="data" outline="0" fieldPosition="0">
        <references count="2">
          <reference field="4294967294" count="1" selected="0">
            <x v="0"/>
          </reference>
          <reference field="2" count="1" selected="0">
            <x v="5"/>
          </reference>
        </references>
      </pivotArea>
    </chartFormat>
    <chartFormat chart="31" format="12">
      <pivotArea type="data" outline="0" fieldPosition="0">
        <references count="2">
          <reference field="4294967294" count="1" selected="0">
            <x v="0"/>
          </reference>
          <reference field="2" count="1" selected="0">
            <x v="1"/>
          </reference>
        </references>
      </pivotArea>
    </chartFormat>
    <chartFormat chart="31" format="1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87630B-4D4E-4751-B382-02EB362FEA9C}" name="PivotTable5"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O18:O19" firstHeaderRow="1" firstDataRow="1" firstDataCol="0"/>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pivotField showAll="0"/>
    <pivotField dataField="1"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B7F44C-FC61-4D3A-8783-B9EE9C824066}"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O14:O15" firstHeaderRow="1" firstDataRow="1" firstDataCol="0"/>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pivotField showAll="0"/>
    <pivotField dataField="1"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dataFields>
  <chartFormats count="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44B8F2-CCE8-4DCA-97E8-6CF53350362A}"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L14:M21"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axis="axisRow" showAll="0">
      <items count="8">
        <item x="2"/>
        <item x="0"/>
        <item x="4"/>
        <item x="1"/>
        <item x="3"/>
        <item x="5"/>
        <item x="6"/>
        <item t="default"/>
      </items>
    </pivotField>
    <pivotField showAll="0">
      <items count="8">
        <item x="2"/>
        <item x="4"/>
        <item x="0"/>
        <item x="5"/>
        <item x="3"/>
        <item x="1"/>
        <item x="6"/>
        <item t="default"/>
      </items>
    </pivotField>
    <pivotField showAll="0"/>
    <pivotField showAll="0"/>
    <pivotField dataField="1"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chartFormats count="4">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BBC3A5-8003-46DE-98EB-70708AB1C791}"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L1:M8" firstHeaderRow="1" firstDataRow="1" firstDataCol="1"/>
  <pivotFields count="10">
    <pivotField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showAll="0">
      <items count="8">
        <item x="2"/>
        <item x="0"/>
        <item x="4"/>
        <item x="1"/>
        <item x="3"/>
        <item x="5"/>
        <item x="6"/>
        <item t="default"/>
      </items>
    </pivotField>
    <pivotField axis="axisRow" showAll="0">
      <items count="8">
        <item x="2"/>
        <item x="4"/>
        <item x="0"/>
        <item x="5"/>
        <item x="3"/>
        <item x="1"/>
        <item x="6"/>
        <item t="default"/>
      </items>
    </pivotField>
    <pivotField showAll="0"/>
    <pivotField showAll="0"/>
    <pivotField dataField="1"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dataFields>
  <chartFormats count="8">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0"/>
          </reference>
        </references>
      </pivotArea>
    </chartFormat>
    <chartFormat chart="12" format="4">
      <pivotArea type="data" outline="0" fieldPosition="0">
        <references count="2">
          <reference field="4294967294" count="1" selected="0">
            <x v="0"/>
          </reference>
          <reference field="3" count="1" selected="0">
            <x v="2"/>
          </reference>
        </references>
      </pivotArea>
    </chartFormat>
    <chartFormat chart="12" format="5">
      <pivotArea type="data" outline="0" fieldPosition="0">
        <references count="2">
          <reference field="4294967294" count="1" selected="0">
            <x v="0"/>
          </reference>
          <reference field="3" count="1" selected="0">
            <x v="3"/>
          </reference>
        </references>
      </pivotArea>
    </chartFormat>
    <chartFormat chart="12" format="6">
      <pivotArea type="data" outline="0" fieldPosition="0">
        <references count="2">
          <reference field="4294967294" count="1" selected="0">
            <x v="0"/>
          </reference>
          <reference field="3" count="1" selected="0">
            <x v="5"/>
          </reference>
        </references>
      </pivotArea>
    </chartFormat>
    <chartFormat chart="12" format="7">
      <pivotArea type="data" outline="0" fieldPosition="0">
        <references count="2">
          <reference field="4294967294" count="1" selected="0">
            <x v="0"/>
          </reference>
          <reference field="3" count="1" selected="0">
            <x v="1"/>
          </reference>
        </references>
      </pivotArea>
    </chartFormat>
    <chartFormat chart="12" format="8">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A244A7-9B79-4914-AAE9-CE7D1FC412F1}"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14" firstHeaderRow="1" firstDataRow="1" firstDataCol="1"/>
  <pivotFields count="10">
    <pivotField axis="axisRow" showAll="0">
      <items count="2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x="278"/>
        <item t="default"/>
      </items>
    </pivotField>
    <pivotField showAll="0"/>
    <pivotField showAll="0">
      <items count="8">
        <item x="2"/>
        <item x="0"/>
        <item x="4"/>
        <item x="1"/>
        <item x="3"/>
        <item x="5"/>
        <item x="6"/>
        <item t="default"/>
      </items>
    </pivotField>
    <pivotField showAll="0">
      <items count="8">
        <item x="2"/>
        <item x="4"/>
        <item x="0"/>
        <item x="5"/>
        <item x="3"/>
        <item x="1"/>
        <item x="6"/>
        <item t="default"/>
      </items>
    </pivotField>
    <pivotField showAll="0"/>
    <pivotField showAll="0"/>
    <pivotField dataField="1" showAll="0">
      <items count="143">
        <item x="123"/>
        <item x="46"/>
        <item x="106"/>
        <item x="14"/>
        <item x="108"/>
        <item x="43"/>
        <item x="30"/>
        <item x="122"/>
        <item x="57"/>
        <item x="129"/>
        <item x="112"/>
        <item x="63"/>
        <item x="93"/>
        <item x="49"/>
        <item x="132"/>
        <item x="81"/>
        <item x="60"/>
        <item x="20"/>
        <item x="11"/>
        <item x="98"/>
        <item x="8"/>
        <item x="64"/>
        <item x="67"/>
        <item x="104"/>
        <item x="128"/>
        <item x="121"/>
        <item x="124"/>
        <item x="73"/>
        <item x="92"/>
        <item x="22"/>
        <item x="10"/>
        <item x="65"/>
        <item x="126"/>
        <item x="66"/>
        <item x="29"/>
        <item x="139"/>
        <item x="45"/>
        <item x="0"/>
        <item x="44"/>
        <item x="130"/>
        <item x="109"/>
        <item x="82"/>
        <item x="21"/>
        <item x="31"/>
        <item x="105"/>
        <item x="107"/>
        <item x="25"/>
        <item x="89"/>
        <item x="94"/>
        <item x="125"/>
        <item x="33"/>
        <item x="42"/>
        <item x="97"/>
        <item x="116"/>
        <item x="118"/>
        <item x="13"/>
        <item x="79"/>
        <item x="86"/>
        <item x="115"/>
        <item x="32"/>
        <item x="127"/>
        <item x="71"/>
        <item x="84"/>
        <item x="26"/>
        <item x="39"/>
        <item x="2"/>
        <item x="72"/>
        <item x="51"/>
        <item x="18"/>
        <item x="27"/>
        <item x="95"/>
        <item x="91"/>
        <item x="114"/>
        <item x="48"/>
        <item x="5"/>
        <item x="54"/>
        <item x="17"/>
        <item x="96"/>
        <item x="4"/>
        <item x="1"/>
        <item x="23"/>
        <item x="69"/>
        <item x="100"/>
        <item x="15"/>
        <item x="28"/>
        <item x="9"/>
        <item x="77"/>
        <item x="137"/>
        <item x="120"/>
        <item x="38"/>
        <item x="85"/>
        <item x="41"/>
        <item x="74"/>
        <item x="117"/>
        <item x="110"/>
        <item x="80"/>
        <item x="24"/>
        <item x="56"/>
        <item x="12"/>
        <item x="35"/>
        <item x="138"/>
        <item x="101"/>
        <item x="40"/>
        <item x="133"/>
        <item x="119"/>
        <item x="58"/>
        <item x="111"/>
        <item x="136"/>
        <item x="68"/>
        <item x="102"/>
        <item x="131"/>
        <item x="34"/>
        <item x="87"/>
        <item x="62"/>
        <item x="50"/>
        <item x="6"/>
        <item x="90"/>
        <item x="19"/>
        <item x="36"/>
        <item x="134"/>
        <item x="140"/>
        <item x="16"/>
        <item x="135"/>
        <item x="37"/>
        <item x="59"/>
        <item x="99"/>
        <item x="55"/>
        <item x="78"/>
        <item x="76"/>
        <item x="70"/>
        <item x="88"/>
        <item x="47"/>
        <item x="83"/>
        <item x="75"/>
        <item x="113"/>
        <item x="52"/>
        <item x="103"/>
        <item x="61"/>
        <item x="7"/>
        <item x="53"/>
        <item x="3"/>
        <item x="14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8" name="Date">
      <autoFilter ref="A1">
        <filterColumn colId="0">
          <customFilters and="1">
            <customFilter operator="greaterThanOrEqual" val="43831"/>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C95A826B-1893-4CBE-BD88-F63DA2D1E148}" sourceName="Plac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s>
  <data>
    <tabular pivotCacheId="2014828865">
      <items count="7">
        <i x="2" s="1"/>
        <i x="4" s="1"/>
        <i x="0" s="1"/>
        <i x="5" s="1"/>
        <i x="3" s="1"/>
        <i x="1"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D163CC6A-225B-46F9-A949-D2CC163ED259}" sourceName="Products">
  <pivotTables>
    <pivotTable tabId="3" name="PivotTable1"/>
    <pivotTable tabId="3" name="PivotTable2"/>
    <pivotTable tabId="3" name="PivotTable3"/>
    <pivotTable tabId="3" name="PivotTable4"/>
    <pivotTable tabId="3" name="PivotTable5"/>
    <pivotTable tabId="3" name="PivotTable8"/>
    <pivotTable tabId="3" name="PivotTable10"/>
    <pivotTable tabId="3" name="PivotTable11"/>
    <pivotTable tabId="3" name="PivotTable12"/>
    <pivotTable tabId="3" name="PivotTable6"/>
    <pivotTable tabId="3" name="PivotTable7"/>
    <pivotTable tabId="3" name="PivotTable9"/>
  </pivotTables>
  <data>
    <tabular pivotCacheId="2014828865">
      <items count="7">
        <i x="2" s="1"/>
        <i x="0" s="1"/>
        <i x="4" s="1"/>
        <i x="1" s="1"/>
        <i x="3"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F2D74181-6426-4ED1-AB69-558774557259}" cache="Slicer_Place" caption="Place" columnCount="2" rowHeight="288000"/>
  <slicer name="Products 1" xr10:uid="{6637DFA4-3206-44CE-BFF7-29BB9004A531}" cache="Slicer_Products" caption="Products" columnCount="6" rowHeight="39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57D501E2-20E6-4044-B4A2-6E19EF26B2FB}" cache="Slicer_Place" caption="Place" columnCount="2" rowHeight="288000"/>
  <slicer name="Products 2" xr10:uid="{AD6E4609-E430-419B-B961-DD2E3F17836F}" cache="Slicer_Products" caption="Products" columnCount="6" rowHeight="3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808D1CE1-0FFB-41DD-8E59-B9C008FCC68E}" cache="Slicer_Place" caption="Place" columnCount="2" rowHeight="288000"/>
  <slicer name="Products 3" xr10:uid="{8091D450-A1DD-4BBD-945D-762EC548F8B0}" cache="Slicer_Products" caption="Products" columnCount="6" rowHeight="39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4" xr10:uid="{48708882-83B7-49D0-8117-C55DFDA779FF}" cache="Slicer_Place" caption="Place" columnCount="2" rowHeight="288000"/>
  <slicer name="Products 4" xr10:uid="{5D9FF5B3-53D0-489D-A115-F879F9521D5A}" cache="Slicer_Products" caption="Products" columnCount="6"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8AE51A-94F0-4A57-B489-E93CA55816B3}" name="Table1" displayName="Table1" ref="A3:G58" totalsRowShown="0">
  <autoFilter ref="A3:G58" xr:uid="{088AE51A-94F0-4A57-B489-E93CA55816B3}"/>
  <tableColumns count="7">
    <tableColumn id="1" xr3:uid="{5AEC3935-F37B-4ACE-A74A-5470B58D85B2}" name="Column1" dataDxfId="0"/>
    <tableColumn id="2" xr3:uid="{951101E8-A6B5-48D2-9F18-B922A385E826}" name="Column2"/>
    <tableColumn id="3" xr3:uid="{EDA4D3BE-AE9F-4B23-9993-BFE3759D532C}" name="Column3"/>
    <tableColumn id="4" xr3:uid="{A977E3D6-58D0-4B08-89DF-3A89BC947085}" name="Column4"/>
    <tableColumn id="5" xr3:uid="{3E2329F6-773D-4776-BCAA-18926320AC8D}" name="Column5"/>
    <tableColumn id="6" xr3:uid="{93E6D3E6-5A2E-4BE7-A481-90BD31E01EFC}" name="Column6"/>
    <tableColumn id="7" xr3:uid="{5DD8BC92-0E5E-4D97-9468-8CA0ACAE8721}" name="Column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Smokey Glass">
      <a:fillStyleLst>
        <a:solidFill>
          <a:schemeClr val="phClr"/>
        </a:solidFill>
        <a:gradFill rotWithShape="1">
          <a:gsLst>
            <a:gs pos="0">
              <a:schemeClr val="phClr">
                <a:tint val="83000"/>
                <a:shade val="100000"/>
                <a:satMod val="100000"/>
              </a:schemeClr>
            </a:gs>
            <a:gs pos="100000">
              <a:schemeClr val="phClr">
                <a:tint val="61000"/>
                <a:alpha val="100000"/>
                <a:satMod val="180000"/>
              </a:schemeClr>
            </a:gs>
          </a:gsLst>
          <a:path path="circle">
            <a:fillToRect l="100000" t="100000" r="100000" b="100000"/>
          </a:path>
        </a:gradFill>
        <a:gradFill rotWithShape="1">
          <a:gsLst>
            <a:gs pos="0">
              <a:schemeClr val="phClr">
                <a:shade val="85000"/>
              </a:schemeClr>
            </a:gs>
            <a:gs pos="100000">
              <a:schemeClr val="phClr">
                <a:tint val="90000"/>
                <a:alpha val="100000"/>
                <a:satMod val="180000"/>
              </a:schemeClr>
            </a:gs>
          </a:gsLst>
          <a:path path="circle">
            <a:fillToRect l="100000" t="100000" r="100000" b="100000"/>
          </a:path>
        </a:gradFill>
      </a:fillStyleLst>
      <a:lnStyleLst>
        <a:ln w="9525" cap="flat" cmpd="sng" algn="ctr">
          <a:solidFill>
            <a:schemeClr val="phClr"/>
          </a:solidFill>
          <a:prstDash val="solid"/>
        </a:ln>
        <a:ln w="10795" cap="flat" cmpd="sng" algn="ctr">
          <a:solidFill>
            <a:schemeClr val="phClr"/>
          </a:solidFill>
          <a:prstDash val="solid"/>
        </a:ln>
        <a:ln w="15240" cap="flat" cmpd="sng" algn="ctr">
          <a:solidFill>
            <a:schemeClr val="phClr">
              <a:tint val="25000"/>
              <a:alpha val="25000"/>
            </a:schemeClr>
          </a:solidFill>
          <a:prstDash val="solid"/>
        </a:ln>
      </a:lnStyleLst>
      <a:effectStyleLst>
        <a:effectStyle>
          <a:effectLst/>
        </a:effectStyle>
        <a:effectStyle>
          <a:effectLst/>
        </a:effectStyle>
        <a:effectStyle>
          <a:effectLst>
            <a:outerShdw blurRad="44450" dist="21590" dir="5400000" rotWithShape="0">
              <a:srgbClr val="000000">
                <a:alpha val="40000"/>
              </a:srgbClr>
            </a:outerShdw>
          </a:effectLst>
          <a:scene3d>
            <a:camera prst="orthographicFront">
              <a:rot lat="0" lon="0" rev="0"/>
            </a:camera>
            <a:lightRig rig="flat" dir="t">
              <a:rot lat="0" lon="0" rev="3600000"/>
            </a:lightRig>
          </a:scene3d>
          <a:sp3d prstMaterial="flat">
            <a:bevelT w="28575" h="41275" prst="coolSlan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DC9C308-DEB2-4CD1-9C40-EE8B8F25EDF9}" sourceName="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 tabId="3" name="PivotTable12"/>
  </pivotTables>
  <state minimalRefreshVersion="6" lastRefreshVersion="6" pivotCacheId="2014828865" filterType="dateBetween">
    <selection startDate="2020-01-01T00:00:00" endDate="2023-12-31T00:00:00"/>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6E78143-182E-44DD-8004-BF150DEE5C56}" cache="NativeTimeline_Date" caption="Date" showHeader="0"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6B04E430-CEE0-4219-9F17-B0E78321692B}" cache="NativeTimeline_Date" caption="Date" showHeader="0" level="0" selectionLevel="0"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4850456C-8B96-4546-BE86-1709CE7D7F77}" cache="NativeTimeline_Date" caption="Date" showHeader="0" level="0" selectionLevel="0"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805E0CE2-5891-4E6A-BED5-F3281AE70DBC}" cache="NativeTimeline_Date" caption="Date" showHeader="0" level="0" selectionLevel="0" scrollPosition="2020-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workbookViewId="0">
      <selection activeCell="H13" sqref="H13"/>
    </sheetView>
  </sheetViews>
  <sheetFormatPr defaultRowHeight="14.5" x14ac:dyDescent="0.35"/>
  <cols>
    <col min="1" max="1" width="11.1796875" customWidth="1"/>
    <col min="2" max="2" width="16.08984375" customWidth="1"/>
    <col min="3" max="3" width="11.453125" customWidth="1"/>
    <col min="4" max="4" width="11.54296875" customWidth="1"/>
    <col min="5" max="6" width="6.54296875" customWidth="1"/>
    <col min="7" max="7" width="9.90625" customWidth="1"/>
  </cols>
  <sheetData>
    <row r="1" spans="1:7" ht="18.5" x14ac:dyDescent="0.45">
      <c r="A1" s="1" t="s">
        <v>0</v>
      </c>
      <c r="B1" s="2" t="s">
        <v>1</v>
      </c>
      <c r="C1" s="2" t="s">
        <v>2</v>
      </c>
      <c r="D1" s="2" t="s">
        <v>3</v>
      </c>
      <c r="E1" s="2" t="s">
        <v>4</v>
      </c>
      <c r="F1" s="2" t="s">
        <v>5</v>
      </c>
      <c r="G1" s="2" t="s">
        <v>6</v>
      </c>
    </row>
    <row r="2" spans="1:7" ht="15.5" x14ac:dyDescent="0.35">
      <c r="A2" s="3">
        <v>43831</v>
      </c>
      <c r="B2" s="4" t="s">
        <v>7</v>
      </c>
      <c r="C2" s="4" t="s">
        <v>8</v>
      </c>
      <c r="D2" s="4" t="s">
        <v>9</v>
      </c>
      <c r="E2" s="4">
        <v>499</v>
      </c>
      <c r="F2" s="4">
        <v>50</v>
      </c>
      <c r="G2" s="5">
        <f>E2*F2</f>
        <v>24950</v>
      </c>
    </row>
    <row r="3" spans="1:7" ht="15.5" x14ac:dyDescent="0.35">
      <c r="A3" s="6">
        <v>43835</v>
      </c>
      <c r="B3" s="7" t="s">
        <v>10</v>
      </c>
      <c r="C3" s="7" t="s">
        <v>8</v>
      </c>
      <c r="D3" s="7" t="s">
        <v>11</v>
      </c>
      <c r="E3" s="7">
        <v>5599</v>
      </c>
      <c r="F3" s="7">
        <v>33</v>
      </c>
      <c r="G3" s="8">
        <f t="shared" ref="G3:G66" si="0">E3*F3</f>
        <v>184767</v>
      </c>
    </row>
    <row r="4" spans="1:7" ht="15.5" x14ac:dyDescent="0.35">
      <c r="A4" s="3">
        <v>43839</v>
      </c>
      <c r="B4" s="4" t="s">
        <v>12</v>
      </c>
      <c r="C4" s="4" t="s">
        <v>13</v>
      </c>
      <c r="D4" s="4" t="s">
        <v>14</v>
      </c>
      <c r="E4" s="4">
        <v>1450</v>
      </c>
      <c r="F4" s="4">
        <v>44</v>
      </c>
      <c r="G4" s="5">
        <f t="shared" si="0"/>
        <v>63800</v>
      </c>
    </row>
    <row r="5" spans="1:7" ht="15.5" x14ac:dyDescent="0.35">
      <c r="A5" s="6">
        <v>43843</v>
      </c>
      <c r="B5" s="7" t="s">
        <v>15</v>
      </c>
      <c r="C5" s="7" t="s">
        <v>16</v>
      </c>
      <c r="D5" s="7" t="s">
        <v>9</v>
      </c>
      <c r="E5" s="7">
        <v>85000</v>
      </c>
      <c r="F5" s="7">
        <v>50</v>
      </c>
      <c r="G5" s="8">
        <f t="shared" si="0"/>
        <v>4250000</v>
      </c>
    </row>
    <row r="6" spans="1:7" ht="15.5" x14ac:dyDescent="0.35">
      <c r="A6" s="3">
        <v>43847</v>
      </c>
      <c r="B6" s="4" t="s">
        <v>15</v>
      </c>
      <c r="C6" s="4" t="s">
        <v>17</v>
      </c>
      <c r="D6" s="4" t="s">
        <v>18</v>
      </c>
      <c r="E6" s="4">
        <v>15000</v>
      </c>
      <c r="F6" s="4">
        <v>11</v>
      </c>
      <c r="G6" s="5">
        <f t="shared" si="0"/>
        <v>165000</v>
      </c>
    </row>
    <row r="7" spans="1:7" ht="15.5" x14ac:dyDescent="0.35">
      <c r="A7" s="6">
        <v>43851</v>
      </c>
      <c r="B7" s="7" t="s">
        <v>10</v>
      </c>
      <c r="C7" s="7" t="s">
        <v>8</v>
      </c>
      <c r="D7" s="7" t="s">
        <v>18</v>
      </c>
      <c r="E7" s="7">
        <v>2550</v>
      </c>
      <c r="F7" s="7">
        <v>48</v>
      </c>
      <c r="G7" s="8">
        <f t="shared" si="0"/>
        <v>122400</v>
      </c>
    </row>
    <row r="8" spans="1:7" ht="15.5" x14ac:dyDescent="0.35">
      <c r="A8" s="3">
        <v>43855</v>
      </c>
      <c r="B8" s="4" t="s">
        <v>19</v>
      </c>
      <c r="C8" s="4" t="s">
        <v>20</v>
      </c>
      <c r="D8" s="4" t="s">
        <v>14</v>
      </c>
      <c r="E8" s="4">
        <v>33000</v>
      </c>
      <c r="F8" s="4">
        <v>26</v>
      </c>
      <c r="G8" s="5">
        <f t="shared" si="0"/>
        <v>858000</v>
      </c>
    </row>
    <row r="9" spans="1:7" ht="15.5" x14ac:dyDescent="0.35">
      <c r="A9" s="6">
        <v>43859</v>
      </c>
      <c r="B9" s="7" t="s">
        <v>7</v>
      </c>
      <c r="C9" s="7" t="s">
        <v>16</v>
      </c>
      <c r="D9" s="7" t="s">
        <v>21</v>
      </c>
      <c r="E9" s="7">
        <v>86000</v>
      </c>
      <c r="F9" s="7">
        <v>39</v>
      </c>
      <c r="G9" s="8">
        <f t="shared" si="0"/>
        <v>3354000</v>
      </c>
    </row>
    <row r="10" spans="1:7" ht="15.5" x14ac:dyDescent="0.35">
      <c r="A10" s="3">
        <v>43863</v>
      </c>
      <c r="B10" s="4" t="s">
        <v>12</v>
      </c>
      <c r="C10" s="4" t="s">
        <v>22</v>
      </c>
      <c r="D10" s="4" t="s">
        <v>18</v>
      </c>
      <c r="E10" s="4">
        <v>990</v>
      </c>
      <c r="F10" s="4">
        <v>9</v>
      </c>
      <c r="G10" s="5">
        <f t="shared" si="0"/>
        <v>8910</v>
      </c>
    </row>
    <row r="11" spans="1:7" ht="15.5" x14ac:dyDescent="0.35">
      <c r="A11" s="6">
        <v>43867</v>
      </c>
      <c r="B11" s="7" t="s">
        <v>7</v>
      </c>
      <c r="C11" s="7" t="s">
        <v>8</v>
      </c>
      <c r="D11" s="7" t="s">
        <v>9</v>
      </c>
      <c r="E11" s="7">
        <v>5599</v>
      </c>
      <c r="F11" s="7">
        <v>41</v>
      </c>
      <c r="G11" s="8">
        <f t="shared" si="0"/>
        <v>229559</v>
      </c>
    </row>
    <row r="12" spans="1:7" ht="15.5" x14ac:dyDescent="0.35">
      <c r="A12" s="3">
        <v>43871</v>
      </c>
      <c r="B12" s="4" t="s">
        <v>19</v>
      </c>
      <c r="C12" s="4" t="s">
        <v>20</v>
      </c>
      <c r="D12" s="4" t="s">
        <v>14</v>
      </c>
      <c r="E12" s="4">
        <v>499</v>
      </c>
      <c r="F12" s="4">
        <v>39</v>
      </c>
      <c r="G12" s="5">
        <f t="shared" si="0"/>
        <v>19461</v>
      </c>
    </row>
    <row r="13" spans="1:7" ht="15.5" x14ac:dyDescent="0.35">
      <c r="A13" s="6">
        <v>43875</v>
      </c>
      <c r="B13" s="7" t="s">
        <v>10</v>
      </c>
      <c r="C13" s="7" t="s">
        <v>22</v>
      </c>
      <c r="D13" s="7" t="s">
        <v>9</v>
      </c>
      <c r="E13" s="7">
        <v>1999</v>
      </c>
      <c r="F13" s="7">
        <v>4</v>
      </c>
      <c r="G13" s="8">
        <f t="shared" si="0"/>
        <v>7996</v>
      </c>
    </row>
    <row r="14" spans="1:7" ht="15.5" x14ac:dyDescent="0.35">
      <c r="A14" s="3">
        <v>43879</v>
      </c>
      <c r="B14" s="4" t="s">
        <v>15</v>
      </c>
      <c r="C14" s="4" t="s">
        <v>16</v>
      </c>
      <c r="D14" s="4" t="s">
        <v>9</v>
      </c>
      <c r="E14" s="4">
        <v>63400</v>
      </c>
      <c r="F14" s="4">
        <v>8</v>
      </c>
      <c r="G14" s="5">
        <f t="shared" si="0"/>
        <v>507200</v>
      </c>
    </row>
    <row r="15" spans="1:7" ht="15.5" x14ac:dyDescent="0.35">
      <c r="A15" s="6">
        <v>43883</v>
      </c>
      <c r="B15" s="7" t="s">
        <v>23</v>
      </c>
      <c r="C15" s="7" t="s">
        <v>22</v>
      </c>
      <c r="D15" s="7" t="s">
        <v>18</v>
      </c>
      <c r="E15" s="7">
        <v>1499</v>
      </c>
      <c r="F15" s="7">
        <v>27</v>
      </c>
      <c r="G15" s="8">
        <f t="shared" si="0"/>
        <v>40473</v>
      </c>
    </row>
    <row r="16" spans="1:7" ht="15.5" x14ac:dyDescent="0.35">
      <c r="A16" s="3">
        <v>43887</v>
      </c>
      <c r="B16" s="4" t="s">
        <v>15</v>
      </c>
      <c r="C16" s="4" t="s">
        <v>17</v>
      </c>
      <c r="D16" s="4" t="s">
        <v>14</v>
      </c>
      <c r="E16" s="4">
        <v>120</v>
      </c>
      <c r="F16" s="4">
        <v>10</v>
      </c>
      <c r="G16" s="5">
        <f t="shared" si="0"/>
        <v>1200</v>
      </c>
    </row>
    <row r="17" spans="1:7" ht="15.5" x14ac:dyDescent="0.35">
      <c r="A17" s="6">
        <v>43891</v>
      </c>
      <c r="B17" s="7" t="s">
        <v>10</v>
      </c>
      <c r="C17" s="7" t="s">
        <v>20</v>
      </c>
      <c r="D17" s="7" t="s">
        <v>21</v>
      </c>
      <c r="E17" s="7">
        <v>11999</v>
      </c>
      <c r="F17" s="7">
        <v>17</v>
      </c>
      <c r="G17" s="8">
        <f t="shared" si="0"/>
        <v>203983</v>
      </c>
    </row>
    <row r="18" spans="1:7" ht="15.5" x14ac:dyDescent="0.35">
      <c r="A18" s="3">
        <v>43895</v>
      </c>
      <c r="B18" s="4" t="s">
        <v>12</v>
      </c>
      <c r="C18" s="4" t="s">
        <v>16</v>
      </c>
      <c r="D18" s="4" t="s">
        <v>11</v>
      </c>
      <c r="E18" s="4">
        <v>47500</v>
      </c>
      <c r="F18" s="4">
        <v>27</v>
      </c>
      <c r="G18" s="5">
        <f t="shared" si="0"/>
        <v>1282500</v>
      </c>
    </row>
    <row r="19" spans="1:7" ht="15.5" x14ac:dyDescent="0.35">
      <c r="A19" s="6">
        <v>43899</v>
      </c>
      <c r="B19" s="7" t="s">
        <v>19</v>
      </c>
      <c r="C19" s="7" t="s">
        <v>20</v>
      </c>
      <c r="D19" s="7" t="s">
        <v>11</v>
      </c>
      <c r="E19" s="7">
        <v>2999</v>
      </c>
      <c r="F19" s="7">
        <v>43</v>
      </c>
      <c r="G19" s="8">
        <f t="shared" si="0"/>
        <v>128957</v>
      </c>
    </row>
    <row r="20" spans="1:7" ht="15.5" x14ac:dyDescent="0.35">
      <c r="A20" s="3">
        <v>43903</v>
      </c>
      <c r="B20" s="4" t="s">
        <v>15</v>
      </c>
      <c r="C20" s="4" t="s">
        <v>17</v>
      </c>
      <c r="D20" s="4" t="s">
        <v>11</v>
      </c>
      <c r="E20" s="4">
        <v>8900</v>
      </c>
      <c r="F20" s="4">
        <v>9</v>
      </c>
      <c r="G20" s="5">
        <f t="shared" si="0"/>
        <v>80100</v>
      </c>
    </row>
    <row r="21" spans="1:7" ht="15.5" x14ac:dyDescent="0.35">
      <c r="A21" s="6">
        <v>43907</v>
      </c>
      <c r="B21" s="7" t="s">
        <v>10</v>
      </c>
      <c r="C21" s="7" t="s">
        <v>20</v>
      </c>
      <c r="D21" s="7" t="s">
        <v>9</v>
      </c>
      <c r="E21" s="7">
        <v>22000</v>
      </c>
      <c r="F21" s="7">
        <v>42</v>
      </c>
      <c r="G21" s="8">
        <f t="shared" si="0"/>
        <v>924000</v>
      </c>
    </row>
    <row r="22" spans="1:7" ht="15.5" x14ac:dyDescent="0.35">
      <c r="A22" s="3">
        <v>43911</v>
      </c>
      <c r="B22" s="4" t="s">
        <v>12</v>
      </c>
      <c r="C22" s="4" t="s">
        <v>13</v>
      </c>
      <c r="D22" s="4" t="s">
        <v>11</v>
      </c>
      <c r="E22" s="4">
        <v>1250</v>
      </c>
      <c r="F22" s="4">
        <v>6</v>
      </c>
      <c r="G22" s="5">
        <f t="shared" si="0"/>
        <v>7500</v>
      </c>
    </row>
    <row r="23" spans="1:7" ht="15.5" x14ac:dyDescent="0.35">
      <c r="A23" s="6">
        <v>43915</v>
      </c>
      <c r="B23" s="7" t="s">
        <v>15</v>
      </c>
      <c r="C23" s="7" t="s">
        <v>17</v>
      </c>
      <c r="D23" s="7" t="s">
        <v>18</v>
      </c>
      <c r="E23" s="7">
        <v>999</v>
      </c>
      <c r="F23" s="7">
        <v>28</v>
      </c>
      <c r="G23" s="8">
        <f t="shared" si="0"/>
        <v>27972</v>
      </c>
    </row>
    <row r="24" spans="1:7" ht="15.5" x14ac:dyDescent="0.35">
      <c r="A24" s="3">
        <v>43919</v>
      </c>
      <c r="B24" s="4" t="s">
        <v>19</v>
      </c>
      <c r="C24" s="4" t="s">
        <v>13</v>
      </c>
      <c r="D24" s="4" t="s">
        <v>21</v>
      </c>
      <c r="E24" s="4">
        <v>1450</v>
      </c>
      <c r="F24" s="4">
        <v>13</v>
      </c>
      <c r="G24" s="5">
        <f t="shared" si="0"/>
        <v>18850</v>
      </c>
    </row>
    <row r="25" spans="1:7" ht="15.5" x14ac:dyDescent="0.35">
      <c r="A25" s="6">
        <v>43923</v>
      </c>
      <c r="B25" s="7" t="s">
        <v>19</v>
      </c>
      <c r="C25" s="7" t="s">
        <v>13</v>
      </c>
      <c r="D25" s="7" t="s">
        <v>14</v>
      </c>
      <c r="E25" s="7">
        <v>23999</v>
      </c>
      <c r="F25" s="7">
        <v>8</v>
      </c>
      <c r="G25" s="8">
        <f t="shared" si="0"/>
        <v>191992</v>
      </c>
    </row>
    <row r="26" spans="1:7" ht="15.5" x14ac:dyDescent="0.35">
      <c r="A26" s="3">
        <v>43927</v>
      </c>
      <c r="B26" s="4" t="s">
        <v>10</v>
      </c>
      <c r="C26" s="4" t="s">
        <v>16</v>
      </c>
      <c r="D26" s="4" t="s">
        <v>21</v>
      </c>
      <c r="E26" s="4">
        <v>65200</v>
      </c>
      <c r="F26" s="4">
        <v>7</v>
      </c>
      <c r="G26" s="5">
        <f t="shared" si="0"/>
        <v>456400</v>
      </c>
    </row>
    <row r="27" spans="1:7" ht="15.5" x14ac:dyDescent="0.35">
      <c r="A27" s="6">
        <v>43931</v>
      </c>
      <c r="B27" s="7" t="s">
        <v>10</v>
      </c>
      <c r="C27" s="7" t="s">
        <v>22</v>
      </c>
      <c r="D27" s="7" t="s">
        <v>11</v>
      </c>
      <c r="E27" s="7">
        <v>699</v>
      </c>
      <c r="F27" s="7">
        <v>45</v>
      </c>
      <c r="G27" s="8">
        <f t="shared" si="0"/>
        <v>31455</v>
      </c>
    </row>
    <row r="28" spans="1:7" ht="15.5" x14ac:dyDescent="0.35">
      <c r="A28" s="3">
        <v>43935</v>
      </c>
      <c r="B28" s="4" t="s">
        <v>7</v>
      </c>
      <c r="C28" s="4" t="s">
        <v>8</v>
      </c>
      <c r="D28" s="4" t="s">
        <v>9</v>
      </c>
      <c r="E28" s="4">
        <v>2550</v>
      </c>
      <c r="F28" s="4">
        <v>22</v>
      </c>
      <c r="G28" s="5">
        <f t="shared" si="0"/>
        <v>56100</v>
      </c>
    </row>
    <row r="29" spans="1:7" ht="15.5" x14ac:dyDescent="0.35">
      <c r="A29" s="6">
        <v>43939</v>
      </c>
      <c r="B29" s="7" t="s">
        <v>12</v>
      </c>
      <c r="C29" s="7" t="s">
        <v>20</v>
      </c>
      <c r="D29" s="7" t="s">
        <v>21</v>
      </c>
      <c r="E29" s="7">
        <v>22000</v>
      </c>
      <c r="F29" s="7">
        <v>4</v>
      </c>
      <c r="G29" s="8">
        <f t="shared" si="0"/>
        <v>88000</v>
      </c>
    </row>
    <row r="30" spans="1:7" ht="15.5" x14ac:dyDescent="0.35">
      <c r="A30" s="3">
        <v>43943</v>
      </c>
      <c r="B30" s="4" t="s">
        <v>19</v>
      </c>
      <c r="C30" s="4" t="s">
        <v>16</v>
      </c>
      <c r="D30" s="4" t="s">
        <v>9</v>
      </c>
      <c r="E30" s="4">
        <v>22000</v>
      </c>
      <c r="F30" s="4">
        <v>10</v>
      </c>
      <c r="G30" s="5">
        <f t="shared" si="0"/>
        <v>220000</v>
      </c>
    </row>
    <row r="31" spans="1:7" ht="15.5" x14ac:dyDescent="0.35">
      <c r="A31" s="6">
        <v>43947</v>
      </c>
      <c r="B31" s="7" t="s">
        <v>23</v>
      </c>
      <c r="C31" s="7" t="s">
        <v>22</v>
      </c>
      <c r="D31" s="7" t="s">
        <v>18</v>
      </c>
      <c r="E31" s="7">
        <v>1499</v>
      </c>
      <c r="F31" s="7">
        <v>16</v>
      </c>
      <c r="G31" s="8">
        <f t="shared" si="0"/>
        <v>23984</v>
      </c>
    </row>
    <row r="32" spans="1:7" ht="15.5" x14ac:dyDescent="0.35">
      <c r="A32" s="3">
        <v>43951</v>
      </c>
      <c r="B32" s="4" t="s">
        <v>10</v>
      </c>
      <c r="C32" s="4" t="s">
        <v>17</v>
      </c>
      <c r="D32" s="4" t="s">
        <v>21</v>
      </c>
      <c r="E32" s="4">
        <v>120</v>
      </c>
      <c r="F32" s="4">
        <v>22</v>
      </c>
      <c r="G32" s="5">
        <f t="shared" si="0"/>
        <v>2640</v>
      </c>
    </row>
    <row r="33" spans="1:7" ht="15.5" x14ac:dyDescent="0.35">
      <c r="A33" s="6">
        <v>43955</v>
      </c>
      <c r="B33" s="7" t="s">
        <v>7</v>
      </c>
      <c r="C33" s="7" t="s">
        <v>8</v>
      </c>
      <c r="D33" s="7" t="s">
        <v>14</v>
      </c>
      <c r="E33" s="7">
        <v>1450</v>
      </c>
      <c r="F33" s="7">
        <v>20</v>
      </c>
      <c r="G33" s="8">
        <f t="shared" si="0"/>
        <v>29000</v>
      </c>
    </row>
    <row r="34" spans="1:7" ht="15.5" x14ac:dyDescent="0.35">
      <c r="A34" s="3">
        <v>43959</v>
      </c>
      <c r="B34" s="4" t="s">
        <v>23</v>
      </c>
      <c r="C34" s="4" t="s">
        <v>22</v>
      </c>
      <c r="D34" s="4" t="s">
        <v>18</v>
      </c>
      <c r="E34" s="4">
        <v>1999</v>
      </c>
      <c r="F34" s="4">
        <v>23</v>
      </c>
      <c r="G34" s="5">
        <f t="shared" si="0"/>
        <v>45977</v>
      </c>
    </row>
    <row r="35" spans="1:7" ht="15.5" x14ac:dyDescent="0.35">
      <c r="A35" s="6">
        <v>43963</v>
      </c>
      <c r="B35" s="7" t="s">
        <v>10</v>
      </c>
      <c r="C35" s="7" t="s">
        <v>8</v>
      </c>
      <c r="D35" s="7" t="s">
        <v>9</v>
      </c>
      <c r="E35" s="7">
        <v>800</v>
      </c>
      <c r="F35" s="7">
        <v>43</v>
      </c>
      <c r="G35" s="8">
        <f t="shared" si="0"/>
        <v>34400</v>
      </c>
    </row>
    <row r="36" spans="1:7" ht="15.5" x14ac:dyDescent="0.35">
      <c r="A36" s="3">
        <v>43967</v>
      </c>
      <c r="B36" s="4" t="s">
        <v>12</v>
      </c>
      <c r="C36" s="4" t="s">
        <v>17</v>
      </c>
      <c r="D36" s="4" t="s">
        <v>18</v>
      </c>
      <c r="E36" s="4">
        <v>18000</v>
      </c>
      <c r="F36" s="4">
        <v>41</v>
      </c>
      <c r="G36" s="5">
        <f t="shared" si="0"/>
        <v>738000</v>
      </c>
    </row>
    <row r="37" spans="1:7" ht="15.5" x14ac:dyDescent="0.35">
      <c r="A37" s="6">
        <v>43971</v>
      </c>
      <c r="B37" s="7" t="s">
        <v>7</v>
      </c>
      <c r="C37" s="7" t="s">
        <v>8</v>
      </c>
      <c r="D37" s="7" t="s">
        <v>11</v>
      </c>
      <c r="E37" s="7">
        <v>13999</v>
      </c>
      <c r="F37" s="7">
        <v>37</v>
      </c>
      <c r="G37" s="8">
        <f t="shared" si="0"/>
        <v>517963</v>
      </c>
    </row>
    <row r="38" spans="1:7" ht="15.5" x14ac:dyDescent="0.35">
      <c r="A38" s="3">
        <v>43975</v>
      </c>
      <c r="B38" s="4" t="s">
        <v>10</v>
      </c>
      <c r="C38" s="4" t="s">
        <v>20</v>
      </c>
      <c r="D38" s="4" t="s">
        <v>18</v>
      </c>
      <c r="E38" s="4">
        <v>22000</v>
      </c>
      <c r="F38" s="4">
        <v>45</v>
      </c>
      <c r="G38" s="5">
        <f t="shared" si="0"/>
        <v>990000</v>
      </c>
    </row>
    <row r="39" spans="1:7" ht="15.5" x14ac:dyDescent="0.35">
      <c r="A39" s="6">
        <v>43979</v>
      </c>
      <c r="B39" s="7" t="s">
        <v>19</v>
      </c>
      <c r="C39" s="7" t="s">
        <v>16</v>
      </c>
      <c r="D39" s="7" t="s">
        <v>9</v>
      </c>
      <c r="E39" s="7">
        <v>89999</v>
      </c>
      <c r="F39" s="7">
        <v>15</v>
      </c>
      <c r="G39" s="8">
        <f t="shared" si="0"/>
        <v>1349985</v>
      </c>
    </row>
    <row r="40" spans="1:7" ht="15.5" x14ac:dyDescent="0.35">
      <c r="A40" s="3">
        <v>43983</v>
      </c>
      <c r="B40" s="4" t="s">
        <v>7</v>
      </c>
      <c r="C40" s="4" t="s">
        <v>8</v>
      </c>
      <c r="D40" s="4" t="s">
        <v>14</v>
      </c>
      <c r="E40" s="4">
        <v>13999</v>
      </c>
      <c r="F40" s="4">
        <v>22</v>
      </c>
      <c r="G40" s="5">
        <f t="shared" si="0"/>
        <v>307978</v>
      </c>
    </row>
    <row r="41" spans="1:7" ht="15.5" x14ac:dyDescent="0.35">
      <c r="A41" s="6">
        <v>43987</v>
      </c>
      <c r="B41" s="7" t="s">
        <v>12</v>
      </c>
      <c r="C41" s="7" t="s">
        <v>22</v>
      </c>
      <c r="D41" s="7" t="s">
        <v>11</v>
      </c>
      <c r="E41" s="7">
        <v>2900</v>
      </c>
      <c r="F41" s="7">
        <v>20</v>
      </c>
      <c r="G41" s="8">
        <f t="shared" si="0"/>
        <v>58000</v>
      </c>
    </row>
    <row r="42" spans="1:7" ht="15.5" x14ac:dyDescent="0.35">
      <c r="A42" s="3">
        <v>43991</v>
      </c>
      <c r="B42" s="4" t="s">
        <v>10</v>
      </c>
      <c r="C42" s="4" t="s">
        <v>20</v>
      </c>
      <c r="D42" s="4" t="s">
        <v>18</v>
      </c>
      <c r="E42" s="4">
        <v>33000</v>
      </c>
      <c r="F42" s="4">
        <v>16</v>
      </c>
      <c r="G42" s="5">
        <f t="shared" si="0"/>
        <v>528000</v>
      </c>
    </row>
    <row r="43" spans="1:7" ht="15.5" x14ac:dyDescent="0.35">
      <c r="A43" s="6">
        <v>43995</v>
      </c>
      <c r="B43" s="7" t="s">
        <v>12</v>
      </c>
      <c r="C43" s="7" t="s">
        <v>20</v>
      </c>
      <c r="D43" s="7" t="s">
        <v>11</v>
      </c>
      <c r="E43" s="7">
        <v>22000</v>
      </c>
      <c r="F43" s="7">
        <v>17</v>
      </c>
      <c r="G43" s="8">
        <f t="shared" si="0"/>
        <v>374000</v>
      </c>
    </row>
    <row r="44" spans="1:7" ht="15.5" x14ac:dyDescent="0.35">
      <c r="A44" s="3">
        <v>43999</v>
      </c>
      <c r="B44" s="4" t="s">
        <v>23</v>
      </c>
      <c r="C44" s="4" t="s">
        <v>22</v>
      </c>
      <c r="D44" s="4" t="s">
        <v>11</v>
      </c>
      <c r="E44" s="4">
        <v>699</v>
      </c>
      <c r="F44" s="4">
        <v>50</v>
      </c>
      <c r="G44" s="5">
        <f t="shared" si="0"/>
        <v>34950</v>
      </c>
    </row>
    <row r="45" spans="1:7" ht="15.5" x14ac:dyDescent="0.35">
      <c r="A45" s="6">
        <v>44003</v>
      </c>
      <c r="B45" s="7" t="s">
        <v>19</v>
      </c>
      <c r="C45" s="7" t="s">
        <v>20</v>
      </c>
      <c r="D45" s="7" t="s">
        <v>14</v>
      </c>
      <c r="E45" s="7">
        <v>499</v>
      </c>
      <c r="F45" s="7">
        <v>4</v>
      </c>
      <c r="G45" s="8">
        <f t="shared" si="0"/>
        <v>1996</v>
      </c>
    </row>
    <row r="46" spans="1:7" ht="15.5" x14ac:dyDescent="0.35">
      <c r="A46" s="3">
        <v>44007</v>
      </c>
      <c r="B46" s="4" t="s">
        <v>10</v>
      </c>
      <c r="C46" s="4" t="s">
        <v>22</v>
      </c>
      <c r="D46" s="4" t="s">
        <v>18</v>
      </c>
      <c r="E46" s="4">
        <v>590</v>
      </c>
      <c r="F46" s="4">
        <v>43</v>
      </c>
      <c r="G46" s="5">
        <f t="shared" si="0"/>
        <v>25370</v>
      </c>
    </row>
    <row r="47" spans="1:7" ht="15.5" x14ac:dyDescent="0.35">
      <c r="A47" s="6">
        <v>44011</v>
      </c>
      <c r="B47" s="7" t="s">
        <v>23</v>
      </c>
      <c r="C47" s="7" t="s">
        <v>22</v>
      </c>
      <c r="D47" s="7" t="s">
        <v>11</v>
      </c>
      <c r="E47" s="7">
        <v>590</v>
      </c>
      <c r="F47" s="7">
        <v>42</v>
      </c>
      <c r="G47" s="8">
        <f t="shared" si="0"/>
        <v>24780</v>
      </c>
    </row>
    <row r="48" spans="1:7" ht="15.5" x14ac:dyDescent="0.35">
      <c r="A48" s="3">
        <v>44015</v>
      </c>
      <c r="B48" s="4" t="s">
        <v>10</v>
      </c>
      <c r="C48" s="4" t="s">
        <v>16</v>
      </c>
      <c r="D48" s="4" t="s">
        <v>9</v>
      </c>
      <c r="E48" s="4">
        <v>120</v>
      </c>
      <c r="F48" s="4">
        <v>9</v>
      </c>
      <c r="G48" s="5">
        <f t="shared" si="0"/>
        <v>1080</v>
      </c>
    </row>
    <row r="49" spans="1:7" ht="15.5" x14ac:dyDescent="0.35">
      <c r="A49" s="6">
        <v>44019</v>
      </c>
      <c r="B49" s="7" t="s">
        <v>19</v>
      </c>
      <c r="C49" s="7" t="s">
        <v>20</v>
      </c>
      <c r="D49" s="7" t="s">
        <v>21</v>
      </c>
      <c r="E49" s="7">
        <v>52000</v>
      </c>
      <c r="F49" s="7">
        <v>40</v>
      </c>
      <c r="G49" s="8">
        <f t="shared" si="0"/>
        <v>2080000</v>
      </c>
    </row>
    <row r="50" spans="1:7" ht="15.5" x14ac:dyDescent="0.35">
      <c r="A50" s="3">
        <v>44023</v>
      </c>
      <c r="B50" s="4" t="s">
        <v>12</v>
      </c>
      <c r="C50" s="4" t="s">
        <v>13</v>
      </c>
      <c r="D50" s="4" t="s">
        <v>18</v>
      </c>
      <c r="E50" s="4">
        <v>7999</v>
      </c>
      <c r="F50" s="4">
        <v>14</v>
      </c>
      <c r="G50" s="5">
        <f t="shared" si="0"/>
        <v>111986</v>
      </c>
    </row>
    <row r="51" spans="1:7" ht="15.5" x14ac:dyDescent="0.35">
      <c r="A51" s="6">
        <v>44027</v>
      </c>
      <c r="B51" s="7" t="s">
        <v>10</v>
      </c>
      <c r="C51" s="7" t="s">
        <v>13</v>
      </c>
      <c r="D51" s="7" t="s">
        <v>21</v>
      </c>
      <c r="E51" s="7">
        <v>550</v>
      </c>
      <c r="F51" s="7">
        <v>9</v>
      </c>
      <c r="G51" s="8">
        <f t="shared" si="0"/>
        <v>4950</v>
      </c>
    </row>
    <row r="52" spans="1:7" ht="15.5" x14ac:dyDescent="0.35">
      <c r="A52" s="3">
        <v>44031</v>
      </c>
      <c r="B52" s="4" t="s">
        <v>12</v>
      </c>
      <c r="C52" s="4" t="s">
        <v>16</v>
      </c>
      <c r="D52" s="4" t="s">
        <v>18</v>
      </c>
      <c r="E52" s="4">
        <v>79999</v>
      </c>
      <c r="F52" s="4">
        <v>10</v>
      </c>
      <c r="G52" s="5">
        <f t="shared" si="0"/>
        <v>799990</v>
      </c>
    </row>
    <row r="53" spans="1:7" ht="15.5" x14ac:dyDescent="0.35">
      <c r="A53" s="6">
        <v>44035</v>
      </c>
      <c r="B53" s="7" t="s">
        <v>23</v>
      </c>
      <c r="C53" s="7" t="s">
        <v>22</v>
      </c>
      <c r="D53" s="7" t="s">
        <v>18</v>
      </c>
      <c r="E53" s="7">
        <v>1999</v>
      </c>
      <c r="F53" s="7">
        <v>37</v>
      </c>
      <c r="G53" s="8">
        <f t="shared" si="0"/>
        <v>73963</v>
      </c>
    </row>
    <row r="54" spans="1:7" ht="15.5" x14ac:dyDescent="0.35">
      <c r="A54" s="3">
        <v>44039</v>
      </c>
      <c r="B54" s="4" t="s">
        <v>19</v>
      </c>
      <c r="C54" s="4" t="s">
        <v>20</v>
      </c>
      <c r="D54" s="4" t="s">
        <v>14</v>
      </c>
      <c r="E54" s="4">
        <v>89999</v>
      </c>
      <c r="F54" s="4">
        <v>29</v>
      </c>
      <c r="G54" s="5">
        <f t="shared" si="0"/>
        <v>2609971</v>
      </c>
    </row>
    <row r="55" spans="1:7" ht="15.5" x14ac:dyDescent="0.35">
      <c r="A55" s="6">
        <v>44043</v>
      </c>
      <c r="B55" s="7" t="s">
        <v>10</v>
      </c>
      <c r="C55" s="7" t="s">
        <v>16</v>
      </c>
      <c r="D55" s="7" t="s">
        <v>18</v>
      </c>
      <c r="E55" s="7">
        <v>78500</v>
      </c>
      <c r="F55" s="7">
        <v>44</v>
      </c>
      <c r="G55" s="8">
        <f t="shared" si="0"/>
        <v>3454000</v>
      </c>
    </row>
    <row r="56" spans="1:7" ht="15.5" x14ac:dyDescent="0.35">
      <c r="A56" s="3">
        <v>44047</v>
      </c>
      <c r="B56" s="4" t="s">
        <v>19</v>
      </c>
      <c r="C56" s="4" t="s">
        <v>20</v>
      </c>
      <c r="D56" s="4" t="s">
        <v>11</v>
      </c>
      <c r="E56" s="4">
        <v>3990</v>
      </c>
      <c r="F56" s="4">
        <v>31</v>
      </c>
      <c r="G56" s="5">
        <f t="shared" si="0"/>
        <v>123690</v>
      </c>
    </row>
    <row r="57" spans="1:7" ht="15.5" x14ac:dyDescent="0.35">
      <c r="A57" s="6">
        <v>44051</v>
      </c>
      <c r="B57" s="7" t="s">
        <v>12</v>
      </c>
      <c r="C57" s="7" t="s">
        <v>20</v>
      </c>
      <c r="D57" s="7" t="s">
        <v>18</v>
      </c>
      <c r="E57" s="7">
        <v>52000</v>
      </c>
      <c r="F57" s="7">
        <v>29</v>
      </c>
      <c r="G57" s="8">
        <f t="shared" si="0"/>
        <v>1508000</v>
      </c>
    </row>
    <row r="58" spans="1:7" ht="15.5" x14ac:dyDescent="0.35">
      <c r="A58" s="3">
        <v>44055</v>
      </c>
      <c r="B58" s="4" t="s">
        <v>7</v>
      </c>
      <c r="C58" s="4" t="s">
        <v>16</v>
      </c>
      <c r="D58" s="4" t="s">
        <v>18</v>
      </c>
      <c r="E58" s="4">
        <v>13999</v>
      </c>
      <c r="F58" s="4">
        <v>34</v>
      </c>
      <c r="G58" s="5">
        <f t="shared" si="0"/>
        <v>475966</v>
      </c>
    </row>
    <row r="59" spans="1:7" ht="15.5" x14ac:dyDescent="0.35">
      <c r="A59" s="6">
        <v>44059</v>
      </c>
      <c r="B59" s="7" t="s">
        <v>10</v>
      </c>
      <c r="C59" s="7" t="s">
        <v>17</v>
      </c>
      <c r="D59" s="7" t="s">
        <v>11</v>
      </c>
      <c r="E59" s="7">
        <v>120</v>
      </c>
      <c r="F59" s="7">
        <v>29</v>
      </c>
      <c r="G59" s="8">
        <f t="shared" si="0"/>
        <v>3480</v>
      </c>
    </row>
    <row r="60" spans="1:7" ht="15.5" x14ac:dyDescent="0.35">
      <c r="A60" s="3">
        <v>44063</v>
      </c>
      <c r="B60" s="4" t="s">
        <v>19</v>
      </c>
      <c r="C60" s="4" t="s">
        <v>13</v>
      </c>
      <c r="D60" s="4" t="s">
        <v>11</v>
      </c>
      <c r="E60" s="4">
        <v>23999</v>
      </c>
      <c r="F60" s="4">
        <v>25</v>
      </c>
      <c r="G60" s="5">
        <f t="shared" si="0"/>
        <v>599975</v>
      </c>
    </row>
    <row r="61" spans="1:7" ht="15.5" x14ac:dyDescent="0.35">
      <c r="A61" s="6">
        <v>44067</v>
      </c>
      <c r="B61" s="7" t="s">
        <v>19</v>
      </c>
      <c r="C61" s="7" t="s">
        <v>16</v>
      </c>
      <c r="D61" s="7" t="s">
        <v>18</v>
      </c>
      <c r="E61" s="7">
        <v>45000</v>
      </c>
      <c r="F61" s="7">
        <v>31</v>
      </c>
      <c r="G61" s="8">
        <f t="shared" si="0"/>
        <v>1395000</v>
      </c>
    </row>
    <row r="62" spans="1:7" ht="15.5" x14ac:dyDescent="0.35">
      <c r="A62" s="3">
        <v>44071</v>
      </c>
      <c r="B62" s="4" t="s">
        <v>10</v>
      </c>
      <c r="C62" s="4" t="s">
        <v>22</v>
      </c>
      <c r="D62" s="4" t="s">
        <v>11</v>
      </c>
      <c r="E62" s="4">
        <v>450</v>
      </c>
      <c r="F62" s="4">
        <v>16</v>
      </c>
      <c r="G62" s="5">
        <f t="shared" si="0"/>
        <v>7200</v>
      </c>
    </row>
    <row r="63" spans="1:7" ht="15.5" x14ac:dyDescent="0.35">
      <c r="A63" s="6">
        <v>44075</v>
      </c>
      <c r="B63" s="7" t="s">
        <v>15</v>
      </c>
      <c r="C63" s="7" t="s">
        <v>17</v>
      </c>
      <c r="D63" s="7" t="s">
        <v>18</v>
      </c>
      <c r="E63" s="7">
        <v>65000</v>
      </c>
      <c r="F63" s="7">
        <v>48</v>
      </c>
      <c r="G63" s="8">
        <f t="shared" si="0"/>
        <v>3120000</v>
      </c>
    </row>
    <row r="64" spans="1:7" ht="15.5" x14ac:dyDescent="0.35">
      <c r="A64" s="3">
        <v>44079</v>
      </c>
      <c r="B64" s="4" t="s">
        <v>12</v>
      </c>
      <c r="C64" s="4" t="s">
        <v>16</v>
      </c>
      <c r="D64" s="4" t="s">
        <v>21</v>
      </c>
      <c r="E64" s="4">
        <v>35600</v>
      </c>
      <c r="F64" s="4">
        <v>22</v>
      </c>
      <c r="G64" s="5">
        <f t="shared" si="0"/>
        <v>783200</v>
      </c>
    </row>
    <row r="65" spans="1:7" ht="15.5" x14ac:dyDescent="0.35">
      <c r="A65" s="6">
        <v>44083</v>
      </c>
      <c r="B65" s="7" t="s">
        <v>23</v>
      </c>
      <c r="C65" s="7" t="s">
        <v>22</v>
      </c>
      <c r="D65" s="7" t="s">
        <v>14</v>
      </c>
      <c r="E65" s="7">
        <v>699</v>
      </c>
      <c r="F65" s="7">
        <v>6</v>
      </c>
      <c r="G65" s="8">
        <f t="shared" si="0"/>
        <v>4194</v>
      </c>
    </row>
    <row r="66" spans="1:7" ht="15.5" x14ac:dyDescent="0.35">
      <c r="A66" s="3">
        <v>44087</v>
      </c>
      <c r="B66" s="4" t="s">
        <v>10</v>
      </c>
      <c r="C66" s="4" t="s">
        <v>22</v>
      </c>
      <c r="D66" s="4" t="s">
        <v>11</v>
      </c>
      <c r="E66" s="4">
        <v>990</v>
      </c>
      <c r="F66" s="4">
        <v>12</v>
      </c>
      <c r="G66" s="5">
        <f t="shared" si="0"/>
        <v>11880</v>
      </c>
    </row>
    <row r="67" spans="1:7" ht="15.5" x14ac:dyDescent="0.35">
      <c r="A67" s="6">
        <v>44091</v>
      </c>
      <c r="B67" s="7" t="s">
        <v>23</v>
      </c>
      <c r="C67" s="7" t="s">
        <v>16</v>
      </c>
      <c r="D67" s="7" t="s">
        <v>9</v>
      </c>
      <c r="E67" s="7">
        <v>450</v>
      </c>
      <c r="F67" s="7">
        <v>44</v>
      </c>
      <c r="G67" s="8">
        <f t="shared" ref="G67:G130" si="1">E67*F67</f>
        <v>19800</v>
      </c>
    </row>
    <row r="68" spans="1:7" ht="15.5" x14ac:dyDescent="0.35">
      <c r="A68" s="3">
        <v>44095</v>
      </c>
      <c r="B68" s="4" t="s">
        <v>23</v>
      </c>
      <c r="C68" s="4" t="s">
        <v>22</v>
      </c>
      <c r="D68" s="4" t="s">
        <v>14</v>
      </c>
      <c r="E68" s="4">
        <v>1499</v>
      </c>
      <c r="F68" s="4">
        <v>15</v>
      </c>
      <c r="G68" s="5">
        <f t="shared" si="1"/>
        <v>22485</v>
      </c>
    </row>
    <row r="69" spans="1:7" ht="15.5" x14ac:dyDescent="0.35">
      <c r="A69" s="6">
        <v>44099</v>
      </c>
      <c r="B69" s="7" t="s">
        <v>7</v>
      </c>
      <c r="C69" s="7" t="s">
        <v>8</v>
      </c>
      <c r="D69" s="7" t="s">
        <v>21</v>
      </c>
      <c r="E69" s="7">
        <v>499</v>
      </c>
      <c r="F69" s="7">
        <v>26</v>
      </c>
      <c r="G69" s="8">
        <f t="shared" si="1"/>
        <v>12974</v>
      </c>
    </row>
    <row r="70" spans="1:7" ht="15.5" x14ac:dyDescent="0.35">
      <c r="A70" s="3">
        <v>44103</v>
      </c>
      <c r="B70" s="4" t="s">
        <v>12</v>
      </c>
      <c r="C70" s="4" t="s">
        <v>16</v>
      </c>
      <c r="D70" s="4" t="s">
        <v>21</v>
      </c>
      <c r="E70" s="4">
        <v>44000</v>
      </c>
      <c r="F70" s="4">
        <v>16</v>
      </c>
      <c r="G70" s="5">
        <f t="shared" si="1"/>
        <v>704000</v>
      </c>
    </row>
    <row r="71" spans="1:7" ht="15.5" x14ac:dyDescent="0.35">
      <c r="A71" s="6">
        <v>44107</v>
      </c>
      <c r="B71" s="7" t="s">
        <v>7</v>
      </c>
      <c r="C71" s="7" t="s">
        <v>8</v>
      </c>
      <c r="D71" s="7" t="s">
        <v>18</v>
      </c>
      <c r="E71" s="7">
        <v>5599</v>
      </c>
      <c r="F71" s="7">
        <v>35</v>
      </c>
      <c r="G71" s="8">
        <f t="shared" si="1"/>
        <v>195965</v>
      </c>
    </row>
    <row r="72" spans="1:7" ht="15.5" x14ac:dyDescent="0.35">
      <c r="A72" s="3">
        <v>44111</v>
      </c>
      <c r="B72" s="4" t="s">
        <v>15</v>
      </c>
      <c r="C72" s="4" t="s">
        <v>16</v>
      </c>
      <c r="D72" s="4" t="s">
        <v>9</v>
      </c>
      <c r="E72" s="4">
        <v>54100</v>
      </c>
      <c r="F72" s="4">
        <v>36</v>
      </c>
      <c r="G72" s="5">
        <f t="shared" si="1"/>
        <v>1947600</v>
      </c>
    </row>
    <row r="73" spans="1:7" ht="15.5" x14ac:dyDescent="0.35">
      <c r="A73" s="6">
        <v>44115</v>
      </c>
      <c r="B73" s="7" t="s">
        <v>7</v>
      </c>
      <c r="C73" s="7" t="s">
        <v>8</v>
      </c>
      <c r="D73" s="7" t="s">
        <v>14</v>
      </c>
      <c r="E73" s="7">
        <v>2550</v>
      </c>
      <c r="F73" s="7">
        <v>20</v>
      </c>
      <c r="G73" s="8">
        <f t="shared" si="1"/>
        <v>51000</v>
      </c>
    </row>
    <row r="74" spans="1:7" ht="15.5" x14ac:dyDescent="0.35">
      <c r="A74" s="3">
        <v>44119</v>
      </c>
      <c r="B74" s="4" t="s">
        <v>10</v>
      </c>
      <c r="C74" s="4" t="s">
        <v>16</v>
      </c>
      <c r="D74" s="4" t="s">
        <v>14</v>
      </c>
      <c r="E74" s="4">
        <v>1450</v>
      </c>
      <c r="F74" s="4">
        <v>47</v>
      </c>
      <c r="G74" s="5">
        <f t="shared" si="1"/>
        <v>68150</v>
      </c>
    </row>
    <row r="75" spans="1:7" ht="15.5" x14ac:dyDescent="0.35">
      <c r="A75" s="6">
        <v>44123</v>
      </c>
      <c r="B75" s="7" t="s">
        <v>23</v>
      </c>
      <c r="C75" s="7" t="s">
        <v>22</v>
      </c>
      <c r="D75" s="7" t="s">
        <v>18</v>
      </c>
      <c r="E75" s="7">
        <v>2900</v>
      </c>
      <c r="F75" s="7">
        <v>6</v>
      </c>
      <c r="G75" s="8">
        <f t="shared" si="1"/>
        <v>17400</v>
      </c>
    </row>
    <row r="76" spans="1:7" ht="15.5" x14ac:dyDescent="0.35">
      <c r="A76" s="3">
        <v>44127</v>
      </c>
      <c r="B76" s="4" t="s">
        <v>15</v>
      </c>
      <c r="C76" s="4" t="s">
        <v>16</v>
      </c>
      <c r="D76" s="4" t="s">
        <v>21</v>
      </c>
      <c r="E76" s="4">
        <v>65200</v>
      </c>
      <c r="F76" s="4">
        <v>6</v>
      </c>
      <c r="G76" s="5">
        <f t="shared" si="1"/>
        <v>391200</v>
      </c>
    </row>
    <row r="77" spans="1:7" ht="15.5" x14ac:dyDescent="0.35">
      <c r="A77" s="6">
        <v>44131</v>
      </c>
      <c r="B77" s="7" t="s">
        <v>10</v>
      </c>
      <c r="C77" s="7" t="s">
        <v>20</v>
      </c>
      <c r="D77" s="7" t="s">
        <v>21</v>
      </c>
      <c r="E77" s="7">
        <v>52000</v>
      </c>
      <c r="F77" s="7">
        <v>41</v>
      </c>
      <c r="G77" s="8">
        <f t="shared" si="1"/>
        <v>2132000</v>
      </c>
    </row>
    <row r="78" spans="1:7" ht="15.5" x14ac:dyDescent="0.35">
      <c r="A78" s="3">
        <v>44135</v>
      </c>
      <c r="B78" s="4" t="s">
        <v>12</v>
      </c>
      <c r="C78" s="4" t="s">
        <v>16</v>
      </c>
      <c r="D78" s="4" t="s">
        <v>11</v>
      </c>
      <c r="E78" s="4">
        <v>59000</v>
      </c>
      <c r="F78" s="4">
        <v>29</v>
      </c>
      <c r="G78" s="5">
        <f t="shared" si="1"/>
        <v>1711000</v>
      </c>
    </row>
    <row r="79" spans="1:7" ht="15.5" x14ac:dyDescent="0.35">
      <c r="A79" s="6">
        <v>44139</v>
      </c>
      <c r="B79" s="7" t="s">
        <v>19</v>
      </c>
      <c r="C79" s="7" t="s">
        <v>13</v>
      </c>
      <c r="D79" s="7" t="s">
        <v>21</v>
      </c>
      <c r="E79" s="7">
        <v>7999</v>
      </c>
      <c r="F79" s="7">
        <v>31</v>
      </c>
      <c r="G79" s="8">
        <f t="shared" si="1"/>
        <v>247969</v>
      </c>
    </row>
    <row r="80" spans="1:7" ht="15.5" x14ac:dyDescent="0.35">
      <c r="A80" s="3">
        <v>44143</v>
      </c>
      <c r="B80" s="4" t="s">
        <v>10</v>
      </c>
      <c r="C80" s="4" t="s">
        <v>17</v>
      </c>
      <c r="D80" s="4" t="s">
        <v>11</v>
      </c>
      <c r="E80" s="4">
        <v>45000</v>
      </c>
      <c r="F80" s="4">
        <v>34</v>
      </c>
      <c r="G80" s="5">
        <f t="shared" si="1"/>
        <v>1530000</v>
      </c>
    </row>
    <row r="81" spans="1:7" ht="15.5" x14ac:dyDescent="0.35">
      <c r="A81" s="6">
        <v>44147</v>
      </c>
      <c r="B81" s="7" t="s">
        <v>23</v>
      </c>
      <c r="C81" s="7" t="s">
        <v>22</v>
      </c>
      <c r="D81" s="7" t="s">
        <v>9</v>
      </c>
      <c r="E81" s="7">
        <v>990</v>
      </c>
      <c r="F81" s="7">
        <v>43</v>
      </c>
      <c r="G81" s="8">
        <f t="shared" si="1"/>
        <v>42570</v>
      </c>
    </row>
    <row r="82" spans="1:7" ht="15.5" x14ac:dyDescent="0.35">
      <c r="A82" s="3">
        <v>44151</v>
      </c>
      <c r="B82" s="4" t="s">
        <v>19</v>
      </c>
      <c r="C82" s="4" t="s">
        <v>20</v>
      </c>
      <c r="D82" s="4" t="s">
        <v>9</v>
      </c>
      <c r="E82" s="4">
        <v>11999</v>
      </c>
      <c r="F82" s="4">
        <v>37</v>
      </c>
      <c r="G82" s="5">
        <f t="shared" si="1"/>
        <v>443963</v>
      </c>
    </row>
    <row r="83" spans="1:7" ht="15.5" x14ac:dyDescent="0.35">
      <c r="A83" s="6">
        <v>44155</v>
      </c>
      <c r="B83" s="7" t="s">
        <v>19</v>
      </c>
      <c r="C83" s="7" t="s">
        <v>13</v>
      </c>
      <c r="D83" s="7" t="s">
        <v>9</v>
      </c>
      <c r="E83" s="7">
        <v>960</v>
      </c>
      <c r="F83" s="7">
        <v>7</v>
      </c>
      <c r="G83" s="8">
        <f t="shared" si="1"/>
        <v>6720</v>
      </c>
    </row>
    <row r="84" spans="1:7" ht="15.5" x14ac:dyDescent="0.35">
      <c r="A84" s="3">
        <v>44159</v>
      </c>
      <c r="B84" s="4" t="s">
        <v>10</v>
      </c>
      <c r="C84" s="4" t="s">
        <v>8</v>
      </c>
      <c r="D84" s="4" t="s">
        <v>14</v>
      </c>
      <c r="E84" s="4">
        <v>1450</v>
      </c>
      <c r="F84" s="4">
        <v>19</v>
      </c>
      <c r="G84" s="5">
        <f t="shared" si="1"/>
        <v>27550</v>
      </c>
    </row>
    <row r="85" spans="1:7" ht="15.5" x14ac:dyDescent="0.35">
      <c r="A85" s="6">
        <v>44163</v>
      </c>
      <c r="B85" s="7" t="s">
        <v>12</v>
      </c>
      <c r="C85" s="7" t="s">
        <v>16</v>
      </c>
      <c r="D85" s="7" t="s">
        <v>11</v>
      </c>
      <c r="E85" s="7">
        <v>45000</v>
      </c>
      <c r="F85" s="7">
        <v>47</v>
      </c>
      <c r="G85" s="8">
        <f t="shared" si="1"/>
        <v>2115000</v>
      </c>
    </row>
    <row r="86" spans="1:7" ht="15.5" x14ac:dyDescent="0.35">
      <c r="A86" s="3">
        <v>44167</v>
      </c>
      <c r="B86" s="4" t="s">
        <v>10</v>
      </c>
      <c r="C86" s="4" t="s">
        <v>22</v>
      </c>
      <c r="D86" s="4" t="s">
        <v>11</v>
      </c>
      <c r="E86" s="4">
        <v>1499</v>
      </c>
      <c r="F86" s="4">
        <v>37</v>
      </c>
      <c r="G86" s="5">
        <f t="shared" si="1"/>
        <v>55463</v>
      </c>
    </row>
    <row r="87" spans="1:7" ht="15.5" x14ac:dyDescent="0.35">
      <c r="A87" s="6">
        <v>44171</v>
      </c>
      <c r="B87" s="7" t="s">
        <v>19</v>
      </c>
      <c r="C87" s="7" t="s">
        <v>20</v>
      </c>
      <c r="D87" s="7" t="s">
        <v>14</v>
      </c>
      <c r="E87" s="7">
        <v>79999</v>
      </c>
      <c r="F87" s="7">
        <v>4</v>
      </c>
      <c r="G87" s="8">
        <f t="shared" si="1"/>
        <v>319996</v>
      </c>
    </row>
    <row r="88" spans="1:7" ht="15.5" x14ac:dyDescent="0.35">
      <c r="A88" s="3">
        <v>44175</v>
      </c>
      <c r="B88" s="4" t="s">
        <v>15</v>
      </c>
      <c r="C88" s="4" t="s">
        <v>16</v>
      </c>
      <c r="D88" s="4" t="s">
        <v>21</v>
      </c>
      <c r="E88" s="4">
        <v>999</v>
      </c>
      <c r="F88" s="4">
        <v>45</v>
      </c>
      <c r="G88" s="5">
        <f t="shared" si="1"/>
        <v>44955</v>
      </c>
    </row>
    <row r="89" spans="1:7" ht="15.5" x14ac:dyDescent="0.35">
      <c r="A89" s="6">
        <v>44179</v>
      </c>
      <c r="B89" s="7" t="s">
        <v>10</v>
      </c>
      <c r="C89" s="7" t="s">
        <v>20</v>
      </c>
      <c r="D89" s="7" t="s">
        <v>9</v>
      </c>
      <c r="E89" s="7">
        <v>52000</v>
      </c>
      <c r="F89" s="7">
        <v>15</v>
      </c>
      <c r="G89" s="8">
        <f t="shared" si="1"/>
        <v>780000</v>
      </c>
    </row>
    <row r="90" spans="1:7" ht="15.5" x14ac:dyDescent="0.35">
      <c r="A90" s="3">
        <v>44183</v>
      </c>
      <c r="B90" s="4" t="s">
        <v>12</v>
      </c>
      <c r="C90" s="4" t="s">
        <v>16</v>
      </c>
      <c r="D90" s="4" t="s">
        <v>18</v>
      </c>
      <c r="E90" s="4">
        <v>52000</v>
      </c>
      <c r="F90" s="4">
        <v>39</v>
      </c>
      <c r="G90" s="5">
        <f t="shared" si="1"/>
        <v>2028000</v>
      </c>
    </row>
    <row r="91" spans="1:7" ht="15.5" x14ac:dyDescent="0.35">
      <c r="A91" s="6">
        <v>44187</v>
      </c>
      <c r="B91" s="7" t="s">
        <v>19</v>
      </c>
      <c r="C91" s="7" t="s">
        <v>13</v>
      </c>
      <c r="D91" s="7" t="s">
        <v>14</v>
      </c>
      <c r="E91" s="7">
        <v>960</v>
      </c>
      <c r="F91" s="7">
        <v>33</v>
      </c>
      <c r="G91" s="8">
        <f t="shared" si="1"/>
        <v>31680</v>
      </c>
    </row>
    <row r="92" spans="1:7" ht="15.5" x14ac:dyDescent="0.35">
      <c r="A92" s="3">
        <v>44191</v>
      </c>
      <c r="B92" s="4" t="s">
        <v>19</v>
      </c>
      <c r="C92" s="4" t="s">
        <v>16</v>
      </c>
      <c r="D92" s="4" t="s">
        <v>18</v>
      </c>
      <c r="E92" s="4">
        <v>19500</v>
      </c>
      <c r="F92" s="4">
        <v>45</v>
      </c>
      <c r="G92" s="5">
        <f t="shared" si="1"/>
        <v>877500</v>
      </c>
    </row>
    <row r="93" spans="1:7" ht="15.5" x14ac:dyDescent="0.35">
      <c r="A93" s="6">
        <v>44195</v>
      </c>
      <c r="B93" s="7" t="s">
        <v>19</v>
      </c>
      <c r="C93" s="7" t="s">
        <v>20</v>
      </c>
      <c r="D93" s="7" t="s">
        <v>18</v>
      </c>
      <c r="E93" s="7">
        <v>2999</v>
      </c>
      <c r="F93" s="7">
        <v>33</v>
      </c>
      <c r="G93" s="8">
        <f t="shared" si="1"/>
        <v>98967</v>
      </c>
    </row>
    <row r="94" spans="1:7" ht="15.5" x14ac:dyDescent="0.35">
      <c r="A94" s="3">
        <v>44199</v>
      </c>
      <c r="B94" s="4" t="s">
        <v>10</v>
      </c>
      <c r="C94" s="4" t="s">
        <v>13</v>
      </c>
      <c r="D94" s="4" t="s">
        <v>21</v>
      </c>
      <c r="E94" s="4">
        <v>1250</v>
      </c>
      <c r="F94" s="4">
        <v>14</v>
      </c>
      <c r="G94" s="5">
        <f t="shared" si="1"/>
        <v>17500</v>
      </c>
    </row>
    <row r="95" spans="1:7" ht="15.5" x14ac:dyDescent="0.35">
      <c r="A95" s="6">
        <v>44203</v>
      </c>
      <c r="B95" s="7" t="s">
        <v>10</v>
      </c>
      <c r="C95" s="7" t="s">
        <v>17</v>
      </c>
      <c r="D95" s="7" t="s">
        <v>9</v>
      </c>
      <c r="E95" s="7">
        <v>120</v>
      </c>
      <c r="F95" s="7">
        <v>41</v>
      </c>
      <c r="G95" s="8">
        <f t="shared" si="1"/>
        <v>4920</v>
      </c>
    </row>
    <row r="96" spans="1:7" ht="15.5" x14ac:dyDescent="0.35">
      <c r="A96" s="3">
        <v>44207</v>
      </c>
      <c r="B96" s="4" t="s">
        <v>12</v>
      </c>
      <c r="C96" s="4" t="s">
        <v>8</v>
      </c>
      <c r="D96" s="4" t="s">
        <v>18</v>
      </c>
      <c r="E96" s="4">
        <v>1450</v>
      </c>
      <c r="F96" s="4">
        <v>22</v>
      </c>
      <c r="G96" s="5">
        <f t="shared" si="1"/>
        <v>31900</v>
      </c>
    </row>
    <row r="97" spans="1:7" ht="15.5" x14ac:dyDescent="0.35">
      <c r="A97" s="6">
        <v>44211</v>
      </c>
      <c r="B97" s="7" t="s">
        <v>19</v>
      </c>
      <c r="C97" s="7" t="s">
        <v>20</v>
      </c>
      <c r="D97" s="7" t="s">
        <v>9</v>
      </c>
      <c r="E97" s="7">
        <v>89999</v>
      </c>
      <c r="F97" s="7">
        <v>15</v>
      </c>
      <c r="G97" s="8">
        <f t="shared" si="1"/>
        <v>1349985</v>
      </c>
    </row>
    <row r="98" spans="1:7" ht="15.5" x14ac:dyDescent="0.35">
      <c r="A98" s="3">
        <v>44215</v>
      </c>
      <c r="B98" s="4" t="s">
        <v>23</v>
      </c>
      <c r="C98" s="4" t="s">
        <v>16</v>
      </c>
      <c r="D98" s="4" t="s">
        <v>14</v>
      </c>
      <c r="E98" s="4">
        <v>1999</v>
      </c>
      <c r="F98" s="4">
        <v>48</v>
      </c>
      <c r="G98" s="5">
        <f t="shared" si="1"/>
        <v>95952</v>
      </c>
    </row>
    <row r="99" spans="1:7" ht="15.5" x14ac:dyDescent="0.35">
      <c r="A99" s="6">
        <v>44219</v>
      </c>
      <c r="B99" s="7" t="s">
        <v>23</v>
      </c>
      <c r="C99" s="7" t="s">
        <v>22</v>
      </c>
      <c r="D99" s="7" t="s">
        <v>18</v>
      </c>
      <c r="E99" s="7">
        <v>2900</v>
      </c>
      <c r="F99" s="7">
        <v>49</v>
      </c>
      <c r="G99" s="8">
        <f t="shared" si="1"/>
        <v>142100</v>
      </c>
    </row>
    <row r="100" spans="1:7" ht="15.5" x14ac:dyDescent="0.35">
      <c r="A100" s="3">
        <v>44223</v>
      </c>
      <c r="B100" s="4" t="s">
        <v>19</v>
      </c>
      <c r="C100" s="4" t="s">
        <v>20</v>
      </c>
      <c r="D100" s="4" t="s">
        <v>21</v>
      </c>
      <c r="E100" s="4">
        <v>700</v>
      </c>
      <c r="F100" s="4">
        <v>50</v>
      </c>
      <c r="G100" s="5">
        <f t="shared" si="1"/>
        <v>35000</v>
      </c>
    </row>
    <row r="101" spans="1:7" ht="15.5" x14ac:dyDescent="0.35">
      <c r="A101" s="6">
        <v>44227</v>
      </c>
      <c r="B101" s="7" t="s">
        <v>15</v>
      </c>
      <c r="C101" s="7" t="s">
        <v>17</v>
      </c>
      <c r="D101" s="7" t="s">
        <v>18</v>
      </c>
      <c r="E101" s="7">
        <v>200</v>
      </c>
      <c r="F101" s="7">
        <v>41</v>
      </c>
      <c r="G101" s="8">
        <f t="shared" si="1"/>
        <v>8200</v>
      </c>
    </row>
    <row r="102" spans="1:7" ht="15.5" x14ac:dyDescent="0.35">
      <c r="A102" s="3">
        <v>44231</v>
      </c>
      <c r="B102" s="4" t="s">
        <v>12</v>
      </c>
      <c r="C102" s="4" t="s">
        <v>16</v>
      </c>
      <c r="D102" s="4" t="s">
        <v>11</v>
      </c>
      <c r="E102" s="4">
        <v>49000</v>
      </c>
      <c r="F102" s="4">
        <v>29</v>
      </c>
      <c r="G102" s="5">
        <f t="shared" si="1"/>
        <v>1421000</v>
      </c>
    </row>
    <row r="103" spans="1:7" ht="15.5" x14ac:dyDescent="0.35">
      <c r="A103" s="6">
        <v>44235</v>
      </c>
      <c r="B103" s="7" t="s">
        <v>7</v>
      </c>
      <c r="C103" s="7" t="s">
        <v>8</v>
      </c>
      <c r="D103" s="7" t="s">
        <v>21</v>
      </c>
      <c r="E103" s="7">
        <v>5599</v>
      </c>
      <c r="F103" s="7">
        <v>36</v>
      </c>
      <c r="G103" s="8">
        <f t="shared" si="1"/>
        <v>201564</v>
      </c>
    </row>
    <row r="104" spans="1:7" ht="15.5" x14ac:dyDescent="0.35">
      <c r="A104" s="3">
        <v>44239</v>
      </c>
      <c r="B104" s="4" t="s">
        <v>15</v>
      </c>
      <c r="C104" s="4" t="s">
        <v>17</v>
      </c>
      <c r="D104" s="4" t="s">
        <v>18</v>
      </c>
      <c r="E104" s="4">
        <v>13500</v>
      </c>
      <c r="F104" s="4">
        <v>39</v>
      </c>
      <c r="G104" s="5">
        <f t="shared" si="1"/>
        <v>526500</v>
      </c>
    </row>
    <row r="105" spans="1:7" ht="15.5" x14ac:dyDescent="0.35">
      <c r="A105" s="6">
        <v>44243</v>
      </c>
      <c r="B105" s="7" t="s">
        <v>12</v>
      </c>
      <c r="C105" s="7" t="s">
        <v>20</v>
      </c>
      <c r="D105" s="7" t="s">
        <v>18</v>
      </c>
      <c r="E105" s="7">
        <v>79999</v>
      </c>
      <c r="F105" s="7">
        <v>9</v>
      </c>
      <c r="G105" s="8">
        <f t="shared" si="1"/>
        <v>719991</v>
      </c>
    </row>
    <row r="106" spans="1:7" ht="15.5" x14ac:dyDescent="0.35">
      <c r="A106" s="3">
        <v>44247</v>
      </c>
      <c r="B106" s="4" t="s">
        <v>19</v>
      </c>
      <c r="C106" s="4" t="s">
        <v>16</v>
      </c>
      <c r="D106" s="4" t="s">
        <v>14</v>
      </c>
      <c r="E106" s="4">
        <v>75200</v>
      </c>
      <c r="F106" s="4">
        <v>38</v>
      </c>
      <c r="G106" s="5">
        <f t="shared" si="1"/>
        <v>2857600</v>
      </c>
    </row>
    <row r="107" spans="1:7" ht="15.5" x14ac:dyDescent="0.35">
      <c r="A107" s="6">
        <v>44251</v>
      </c>
      <c r="B107" s="7" t="s">
        <v>19</v>
      </c>
      <c r="C107" s="7" t="s">
        <v>13</v>
      </c>
      <c r="D107" s="7" t="s">
        <v>9</v>
      </c>
      <c r="E107" s="7">
        <v>550</v>
      </c>
      <c r="F107" s="7">
        <v>25</v>
      </c>
      <c r="G107" s="8">
        <f t="shared" si="1"/>
        <v>13750</v>
      </c>
    </row>
    <row r="108" spans="1:7" ht="15.5" x14ac:dyDescent="0.35">
      <c r="A108" s="3">
        <v>44255</v>
      </c>
      <c r="B108" s="4" t="s">
        <v>7</v>
      </c>
      <c r="C108" s="4" t="s">
        <v>8</v>
      </c>
      <c r="D108" s="4" t="s">
        <v>9</v>
      </c>
      <c r="E108" s="4">
        <v>499</v>
      </c>
      <c r="F108" s="4">
        <v>50</v>
      </c>
      <c r="G108" s="5">
        <f t="shared" si="1"/>
        <v>24950</v>
      </c>
    </row>
    <row r="109" spans="1:7" ht="15.5" x14ac:dyDescent="0.35">
      <c r="A109" s="6">
        <v>44259</v>
      </c>
      <c r="B109" s="7" t="s">
        <v>7</v>
      </c>
      <c r="C109" s="7" t="s">
        <v>8</v>
      </c>
      <c r="D109" s="7" t="s">
        <v>11</v>
      </c>
      <c r="E109" s="7">
        <v>5599</v>
      </c>
      <c r="F109" s="7">
        <v>33</v>
      </c>
      <c r="G109" s="8">
        <f t="shared" si="1"/>
        <v>184767</v>
      </c>
    </row>
    <row r="110" spans="1:7" ht="15.5" x14ac:dyDescent="0.35">
      <c r="A110" s="3">
        <v>44263</v>
      </c>
      <c r="B110" s="4" t="s">
        <v>12</v>
      </c>
      <c r="C110" s="4" t="s">
        <v>13</v>
      </c>
      <c r="D110" s="4" t="s">
        <v>14</v>
      </c>
      <c r="E110" s="4">
        <v>1450</v>
      </c>
      <c r="F110" s="4">
        <v>44</v>
      </c>
      <c r="G110" s="5">
        <f t="shared" si="1"/>
        <v>63800</v>
      </c>
    </row>
    <row r="111" spans="1:7" ht="15.5" x14ac:dyDescent="0.35">
      <c r="A111" s="6">
        <v>44267</v>
      </c>
      <c r="B111" s="7" t="s">
        <v>15</v>
      </c>
      <c r="C111" s="7" t="s">
        <v>17</v>
      </c>
      <c r="D111" s="7" t="s">
        <v>9</v>
      </c>
      <c r="E111" s="7">
        <v>999</v>
      </c>
      <c r="F111" s="7">
        <v>31</v>
      </c>
      <c r="G111" s="8">
        <f t="shared" si="1"/>
        <v>30969</v>
      </c>
    </row>
    <row r="112" spans="1:7" ht="15.5" x14ac:dyDescent="0.35">
      <c r="A112" s="3">
        <v>44271</v>
      </c>
      <c r="B112" s="4" t="s">
        <v>15</v>
      </c>
      <c r="C112" s="4" t="s">
        <v>17</v>
      </c>
      <c r="D112" s="4" t="s">
        <v>18</v>
      </c>
      <c r="E112" s="4">
        <v>100</v>
      </c>
      <c r="F112" s="4">
        <v>11</v>
      </c>
      <c r="G112" s="5">
        <f t="shared" si="1"/>
        <v>1100</v>
      </c>
    </row>
    <row r="113" spans="1:7" ht="15.5" x14ac:dyDescent="0.35">
      <c r="A113" s="6">
        <v>44275</v>
      </c>
      <c r="B113" s="7" t="s">
        <v>12</v>
      </c>
      <c r="C113" s="7" t="s">
        <v>8</v>
      </c>
      <c r="D113" s="7" t="s">
        <v>18</v>
      </c>
      <c r="E113" s="7">
        <v>2550</v>
      </c>
      <c r="F113" s="7">
        <v>48</v>
      </c>
      <c r="G113" s="8">
        <f t="shared" si="1"/>
        <v>122400</v>
      </c>
    </row>
    <row r="114" spans="1:7" ht="15.5" x14ac:dyDescent="0.35">
      <c r="A114" s="3">
        <v>44279</v>
      </c>
      <c r="B114" s="4" t="s">
        <v>19</v>
      </c>
      <c r="C114" s="4" t="s">
        <v>20</v>
      </c>
      <c r="D114" s="4" t="s">
        <v>18</v>
      </c>
      <c r="E114" s="4">
        <v>33000</v>
      </c>
      <c r="F114" s="4">
        <v>26</v>
      </c>
      <c r="G114" s="5">
        <f t="shared" si="1"/>
        <v>858000</v>
      </c>
    </row>
    <row r="115" spans="1:7" ht="15.5" x14ac:dyDescent="0.35">
      <c r="A115" s="6">
        <v>44283</v>
      </c>
      <c r="B115" s="7" t="s">
        <v>10</v>
      </c>
      <c r="C115" s="7" t="s">
        <v>8</v>
      </c>
      <c r="D115" s="7" t="s">
        <v>14</v>
      </c>
      <c r="E115" s="7">
        <v>800</v>
      </c>
      <c r="F115" s="7">
        <v>39</v>
      </c>
      <c r="G115" s="8">
        <f t="shared" si="1"/>
        <v>31200</v>
      </c>
    </row>
    <row r="116" spans="1:7" ht="15.5" x14ac:dyDescent="0.35">
      <c r="A116" s="3">
        <v>44287</v>
      </c>
      <c r="B116" s="4" t="s">
        <v>23</v>
      </c>
      <c r="C116" s="4" t="s">
        <v>22</v>
      </c>
      <c r="D116" s="4" t="s">
        <v>14</v>
      </c>
      <c r="E116" s="4">
        <v>990</v>
      </c>
      <c r="F116" s="4">
        <v>9</v>
      </c>
      <c r="G116" s="5">
        <f t="shared" si="1"/>
        <v>8910</v>
      </c>
    </row>
    <row r="117" spans="1:7" ht="15.5" x14ac:dyDescent="0.35">
      <c r="A117" s="6">
        <v>44291</v>
      </c>
      <c r="B117" s="7" t="s">
        <v>7</v>
      </c>
      <c r="C117" s="7" t="s">
        <v>8</v>
      </c>
      <c r="D117" s="7" t="s">
        <v>9</v>
      </c>
      <c r="E117" s="7">
        <v>5599</v>
      </c>
      <c r="F117" s="7">
        <v>41</v>
      </c>
      <c r="G117" s="8">
        <f t="shared" si="1"/>
        <v>229559</v>
      </c>
    </row>
    <row r="118" spans="1:7" ht="15.5" x14ac:dyDescent="0.35">
      <c r="A118" s="3">
        <v>44295</v>
      </c>
      <c r="B118" s="4" t="s">
        <v>19</v>
      </c>
      <c r="C118" s="4" t="s">
        <v>20</v>
      </c>
      <c r="D118" s="4" t="s">
        <v>9</v>
      </c>
      <c r="E118" s="4">
        <v>499</v>
      </c>
      <c r="F118" s="4">
        <v>39</v>
      </c>
      <c r="G118" s="5">
        <f t="shared" si="1"/>
        <v>19461</v>
      </c>
    </row>
    <row r="119" spans="1:7" ht="15.5" x14ac:dyDescent="0.35">
      <c r="A119" s="6">
        <v>44299</v>
      </c>
      <c r="B119" s="7" t="s">
        <v>23</v>
      </c>
      <c r="C119" s="7" t="s">
        <v>22</v>
      </c>
      <c r="D119" s="7" t="s">
        <v>9</v>
      </c>
      <c r="E119" s="7">
        <v>1999</v>
      </c>
      <c r="F119" s="7">
        <v>4</v>
      </c>
      <c r="G119" s="8">
        <f t="shared" si="1"/>
        <v>7996</v>
      </c>
    </row>
    <row r="120" spans="1:7" ht="15.5" x14ac:dyDescent="0.35">
      <c r="A120" s="3">
        <v>44303</v>
      </c>
      <c r="B120" s="4" t="s">
        <v>12</v>
      </c>
      <c r="C120" s="4" t="s">
        <v>17</v>
      </c>
      <c r="D120" s="4" t="s">
        <v>9</v>
      </c>
      <c r="E120" s="4">
        <v>200</v>
      </c>
      <c r="F120" s="4">
        <v>8</v>
      </c>
      <c r="G120" s="5">
        <f t="shared" si="1"/>
        <v>1600</v>
      </c>
    </row>
    <row r="121" spans="1:7" ht="15.5" x14ac:dyDescent="0.35">
      <c r="A121" s="6">
        <v>44307</v>
      </c>
      <c r="B121" s="7" t="s">
        <v>23</v>
      </c>
      <c r="C121" s="7" t="s">
        <v>22</v>
      </c>
      <c r="D121" s="7" t="s">
        <v>14</v>
      </c>
      <c r="E121" s="7">
        <v>1499</v>
      </c>
      <c r="F121" s="7">
        <v>27</v>
      </c>
      <c r="G121" s="8">
        <f t="shared" si="1"/>
        <v>40473</v>
      </c>
    </row>
    <row r="122" spans="1:7" ht="15.5" x14ac:dyDescent="0.35">
      <c r="A122" s="3">
        <v>44311</v>
      </c>
      <c r="B122" s="4" t="s">
        <v>15</v>
      </c>
      <c r="C122" s="4" t="s">
        <v>17</v>
      </c>
      <c r="D122" s="4" t="s">
        <v>21</v>
      </c>
      <c r="E122" s="4">
        <v>120</v>
      </c>
      <c r="F122" s="4">
        <v>10</v>
      </c>
      <c r="G122" s="5">
        <f t="shared" si="1"/>
        <v>1200</v>
      </c>
    </row>
    <row r="123" spans="1:7" ht="15.5" x14ac:dyDescent="0.35">
      <c r="A123" s="6">
        <v>44315</v>
      </c>
      <c r="B123" s="7" t="s">
        <v>10</v>
      </c>
      <c r="C123" s="7" t="s">
        <v>20</v>
      </c>
      <c r="D123" s="7" t="s">
        <v>21</v>
      </c>
      <c r="E123" s="7">
        <v>11999</v>
      </c>
      <c r="F123" s="7">
        <v>17</v>
      </c>
      <c r="G123" s="8">
        <f t="shared" si="1"/>
        <v>203983</v>
      </c>
    </row>
    <row r="124" spans="1:7" ht="15.5" x14ac:dyDescent="0.35">
      <c r="A124" s="3">
        <v>44319</v>
      </c>
      <c r="B124" s="4" t="s">
        <v>10</v>
      </c>
      <c r="C124" s="4" t="s">
        <v>20</v>
      </c>
      <c r="D124" s="4" t="s">
        <v>11</v>
      </c>
      <c r="E124" s="4">
        <v>999</v>
      </c>
      <c r="F124" s="4">
        <v>27</v>
      </c>
      <c r="G124" s="5">
        <f t="shared" si="1"/>
        <v>26973</v>
      </c>
    </row>
    <row r="125" spans="1:7" ht="15.5" x14ac:dyDescent="0.35">
      <c r="A125" s="6">
        <v>44323</v>
      </c>
      <c r="B125" s="7" t="s">
        <v>12</v>
      </c>
      <c r="C125" s="7" t="s">
        <v>20</v>
      </c>
      <c r="D125" s="7" t="s">
        <v>14</v>
      </c>
      <c r="E125" s="7">
        <v>2999</v>
      </c>
      <c r="F125" s="7">
        <v>43</v>
      </c>
      <c r="G125" s="8">
        <f t="shared" si="1"/>
        <v>128957</v>
      </c>
    </row>
    <row r="126" spans="1:7" ht="15.5" x14ac:dyDescent="0.35">
      <c r="A126" s="3">
        <v>44327</v>
      </c>
      <c r="B126" s="4" t="s">
        <v>15</v>
      </c>
      <c r="C126" s="4" t="s">
        <v>16</v>
      </c>
      <c r="D126" s="4" t="s">
        <v>11</v>
      </c>
      <c r="E126" s="4">
        <v>47800</v>
      </c>
      <c r="F126" s="4">
        <v>9</v>
      </c>
      <c r="G126" s="5">
        <f t="shared" si="1"/>
        <v>430200</v>
      </c>
    </row>
    <row r="127" spans="1:7" ht="15.5" x14ac:dyDescent="0.35">
      <c r="A127" s="6">
        <v>44331</v>
      </c>
      <c r="B127" s="7" t="s">
        <v>19</v>
      </c>
      <c r="C127" s="7" t="s">
        <v>16</v>
      </c>
      <c r="D127" s="7" t="s">
        <v>9</v>
      </c>
      <c r="E127" s="7">
        <v>22000</v>
      </c>
      <c r="F127" s="7">
        <v>42</v>
      </c>
      <c r="G127" s="8">
        <f t="shared" si="1"/>
        <v>924000</v>
      </c>
    </row>
    <row r="128" spans="1:7" ht="15.5" x14ac:dyDescent="0.35">
      <c r="A128" s="3">
        <v>44335</v>
      </c>
      <c r="B128" s="4" t="s">
        <v>19</v>
      </c>
      <c r="C128" s="4" t="s">
        <v>13</v>
      </c>
      <c r="D128" s="4" t="s">
        <v>11</v>
      </c>
      <c r="E128" s="4">
        <v>1250</v>
      </c>
      <c r="F128" s="4">
        <v>6</v>
      </c>
      <c r="G128" s="5">
        <f t="shared" si="1"/>
        <v>7500</v>
      </c>
    </row>
    <row r="129" spans="1:7" ht="15.5" x14ac:dyDescent="0.35">
      <c r="A129" s="6">
        <v>44339</v>
      </c>
      <c r="B129" s="7" t="s">
        <v>15</v>
      </c>
      <c r="C129" s="7" t="s">
        <v>17</v>
      </c>
      <c r="D129" s="7" t="s">
        <v>14</v>
      </c>
      <c r="E129" s="7">
        <v>999</v>
      </c>
      <c r="F129" s="7">
        <v>28</v>
      </c>
      <c r="G129" s="8">
        <f t="shared" si="1"/>
        <v>27972</v>
      </c>
    </row>
    <row r="130" spans="1:7" ht="15.5" x14ac:dyDescent="0.35">
      <c r="A130" s="3">
        <v>44343</v>
      </c>
      <c r="B130" s="4" t="s">
        <v>19</v>
      </c>
      <c r="C130" s="4" t="s">
        <v>13</v>
      </c>
      <c r="D130" s="4" t="s">
        <v>21</v>
      </c>
      <c r="E130" s="4">
        <v>1450</v>
      </c>
      <c r="F130" s="4">
        <v>13</v>
      </c>
      <c r="G130" s="5">
        <f t="shared" si="1"/>
        <v>18850</v>
      </c>
    </row>
    <row r="131" spans="1:7" ht="15.5" x14ac:dyDescent="0.35">
      <c r="A131" s="6">
        <v>44347</v>
      </c>
      <c r="B131" s="7" t="s">
        <v>19</v>
      </c>
      <c r="C131" s="7" t="s">
        <v>13</v>
      </c>
      <c r="D131" s="7" t="s">
        <v>21</v>
      </c>
      <c r="E131" s="7">
        <v>23999</v>
      </c>
      <c r="F131" s="7">
        <v>8</v>
      </c>
      <c r="G131" s="8">
        <f t="shared" ref="G131:G194" si="2">E131*F131</f>
        <v>191992</v>
      </c>
    </row>
    <row r="132" spans="1:7" ht="15.5" x14ac:dyDescent="0.35">
      <c r="A132" s="3">
        <v>44351</v>
      </c>
      <c r="B132" s="4" t="s">
        <v>10</v>
      </c>
      <c r="C132" s="4" t="s">
        <v>16</v>
      </c>
      <c r="D132" s="4" t="s">
        <v>21</v>
      </c>
      <c r="E132" s="4">
        <v>92000</v>
      </c>
      <c r="F132" s="4">
        <v>7</v>
      </c>
      <c r="G132" s="5">
        <f t="shared" si="2"/>
        <v>644000</v>
      </c>
    </row>
    <row r="133" spans="1:7" ht="15.5" x14ac:dyDescent="0.35">
      <c r="A133" s="6">
        <v>44355</v>
      </c>
      <c r="B133" s="7" t="s">
        <v>23</v>
      </c>
      <c r="C133" s="7" t="s">
        <v>22</v>
      </c>
      <c r="D133" s="7" t="s">
        <v>14</v>
      </c>
      <c r="E133" s="7">
        <v>699</v>
      </c>
      <c r="F133" s="7">
        <v>45</v>
      </c>
      <c r="G133" s="8">
        <f t="shared" si="2"/>
        <v>31455</v>
      </c>
    </row>
    <row r="134" spans="1:7" ht="15.5" x14ac:dyDescent="0.35">
      <c r="A134" s="3">
        <v>44359</v>
      </c>
      <c r="B134" s="4" t="s">
        <v>7</v>
      </c>
      <c r="C134" s="4" t="s">
        <v>8</v>
      </c>
      <c r="D134" s="4" t="s">
        <v>9</v>
      </c>
      <c r="E134" s="4">
        <v>2550</v>
      </c>
      <c r="F134" s="4">
        <v>22</v>
      </c>
      <c r="G134" s="5">
        <f t="shared" si="2"/>
        <v>56100</v>
      </c>
    </row>
    <row r="135" spans="1:7" ht="15.5" x14ac:dyDescent="0.35">
      <c r="A135" s="6">
        <v>44363</v>
      </c>
      <c r="B135" s="7" t="s">
        <v>12</v>
      </c>
      <c r="C135" s="7" t="s">
        <v>20</v>
      </c>
      <c r="D135" s="7" t="s">
        <v>21</v>
      </c>
      <c r="E135" s="7">
        <v>22000</v>
      </c>
      <c r="F135" s="7">
        <v>4</v>
      </c>
      <c r="G135" s="8">
        <f t="shared" si="2"/>
        <v>88000</v>
      </c>
    </row>
    <row r="136" spans="1:7" ht="15.5" x14ac:dyDescent="0.35">
      <c r="A136" s="3">
        <v>44367</v>
      </c>
      <c r="B136" s="4" t="s">
        <v>19</v>
      </c>
      <c r="C136" s="4" t="s">
        <v>20</v>
      </c>
      <c r="D136" s="4" t="s">
        <v>9</v>
      </c>
      <c r="E136" s="4">
        <v>22000</v>
      </c>
      <c r="F136" s="4">
        <v>10</v>
      </c>
      <c r="G136" s="5">
        <f t="shared" si="2"/>
        <v>220000</v>
      </c>
    </row>
    <row r="137" spans="1:7" ht="15.5" x14ac:dyDescent="0.35">
      <c r="A137" s="6">
        <v>44371</v>
      </c>
      <c r="B137" s="7" t="s">
        <v>10</v>
      </c>
      <c r="C137" s="7" t="s">
        <v>22</v>
      </c>
      <c r="D137" s="7" t="s">
        <v>14</v>
      </c>
      <c r="E137" s="7">
        <v>1499</v>
      </c>
      <c r="F137" s="7">
        <v>16</v>
      </c>
      <c r="G137" s="8">
        <f t="shared" si="2"/>
        <v>23984</v>
      </c>
    </row>
    <row r="138" spans="1:7" ht="15.5" x14ac:dyDescent="0.35">
      <c r="A138" s="3">
        <v>44375</v>
      </c>
      <c r="B138" s="4" t="s">
        <v>15</v>
      </c>
      <c r="C138" s="4" t="s">
        <v>17</v>
      </c>
      <c r="D138" s="4" t="s">
        <v>21</v>
      </c>
      <c r="E138" s="4">
        <v>120</v>
      </c>
      <c r="F138" s="4">
        <v>22</v>
      </c>
      <c r="G138" s="5">
        <f t="shared" si="2"/>
        <v>2640</v>
      </c>
    </row>
    <row r="139" spans="1:7" ht="15.5" x14ac:dyDescent="0.35">
      <c r="A139" s="6">
        <v>44379</v>
      </c>
      <c r="B139" s="7" t="s">
        <v>7</v>
      </c>
      <c r="C139" s="7" t="s">
        <v>8</v>
      </c>
      <c r="D139" s="7" t="s">
        <v>11</v>
      </c>
      <c r="E139" s="7">
        <v>1450</v>
      </c>
      <c r="F139" s="7">
        <v>20</v>
      </c>
      <c r="G139" s="8">
        <f t="shared" si="2"/>
        <v>29000</v>
      </c>
    </row>
    <row r="140" spans="1:7" ht="15.5" x14ac:dyDescent="0.35">
      <c r="A140" s="3">
        <v>44383</v>
      </c>
      <c r="B140" s="4" t="s">
        <v>23</v>
      </c>
      <c r="C140" s="4" t="s">
        <v>22</v>
      </c>
      <c r="D140" s="4" t="s">
        <v>14</v>
      </c>
      <c r="E140" s="4">
        <v>1999</v>
      </c>
      <c r="F140" s="4">
        <v>23</v>
      </c>
      <c r="G140" s="5">
        <f t="shared" si="2"/>
        <v>45977</v>
      </c>
    </row>
    <row r="141" spans="1:7" ht="15.5" x14ac:dyDescent="0.35">
      <c r="A141" s="6">
        <v>44387</v>
      </c>
      <c r="B141" s="7" t="s">
        <v>10</v>
      </c>
      <c r="C141" s="7" t="s">
        <v>8</v>
      </c>
      <c r="D141" s="7" t="s">
        <v>24</v>
      </c>
      <c r="E141" s="7">
        <v>800</v>
      </c>
      <c r="F141" s="7">
        <v>43</v>
      </c>
      <c r="G141" s="8">
        <f t="shared" si="2"/>
        <v>34400</v>
      </c>
    </row>
    <row r="142" spans="1:7" ht="15.5" x14ac:dyDescent="0.35">
      <c r="A142" s="3">
        <v>44391</v>
      </c>
      <c r="B142" s="4" t="s">
        <v>15</v>
      </c>
      <c r="C142" s="4" t="s">
        <v>17</v>
      </c>
      <c r="D142" s="4" t="s">
        <v>21</v>
      </c>
      <c r="E142" s="4">
        <v>100</v>
      </c>
      <c r="F142" s="4">
        <v>41</v>
      </c>
      <c r="G142" s="5">
        <f t="shared" si="2"/>
        <v>4100</v>
      </c>
    </row>
    <row r="143" spans="1:7" ht="15.5" x14ac:dyDescent="0.35">
      <c r="A143" s="6">
        <v>44395</v>
      </c>
      <c r="B143" s="7" t="s">
        <v>7</v>
      </c>
      <c r="C143" s="7" t="s">
        <v>16</v>
      </c>
      <c r="D143" s="7" t="s">
        <v>21</v>
      </c>
      <c r="E143" s="7">
        <v>13999</v>
      </c>
      <c r="F143" s="7">
        <v>37</v>
      </c>
      <c r="G143" s="8">
        <f t="shared" si="2"/>
        <v>517963</v>
      </c>
    </row>
    <row r="144" spans="1:7" ht="15.5" x14ac:dyDescent="0.35">
      <c r="A144" s="3">
        <v>44399</v>
      </c>
      <c r="B144" s="4" t="s">
        <v>12</v>
      </c>
      <c r="C144" s="4" t="s">
        <v>20</v>
      </c>
      <c r="D144" s="4" t="s">
        <v>18</v>
      </c>
      <c r="E144" s="4">
        <v>22000</v>
      </c>
      <c r="F144" s="4">
        <v>45</v>
      </c>
      <c r="G144" s="5">
        <f t="shared" si="2"/>
        <v>990000</v>
      </c>
    </row>
    <row r="145" spans="1:7" ht="15.5" x14ac:dyDescent="0.35">
      <c r="A145" s="6">
        <v>44403</v>
      </c>
      <c r="B145" s="7" t="s">
        <v>19</v>
      </c>
      <c r="C145" s="7" t="s">
        <v>20</v>
      </c>
      <c r="D145" s="7" t="s">
        <v>24</v>
      </c>
      <c r="E145" s="7">
        <v>89999</v>
      </c>
      <c r="F145" s="7">
        <v>15</v>
      </c>
      <c r="G145" s="8">
        <f t="shared" si="2"/>
        <v>1349985</v>
      </c>
    </row>
    <row r="146" spans="1:7" ht="15.5" x14ac:dyDescent="0.35">
      <c r="A146" s="3">
        <v>44407</v>
      </c>
      <c r="B146" s="4" t="s">
        <v>7</v>
      </c>
      <c r="C146" s="4" t="s">
        <v>8</v>
      </c>
      <c r="D146" s="4" t="s">
        <v>18</v>
      </c>
      <c r="E146" s="4">
        <v>13999</v>
      </c>
      <c r="F146" s="4">
        <v>22</v>
      </c>
      <c r="G146" s="5">
        <f t="shared" si="2"/>
        <v>307978</v>
      </c>
    </row>
    <row r="147" spans="1:7" ht="15.5" x14ac:dyDescent="0.35">
      <c r="A147" s="6">
        <v>44411</v>
      </c>
      <c r="B147" s="7" t="s">
        <v>10</v>
      </c>
      <c r="C147" s="7" t="s">
        <v>22</v>
      </c>
      <c r="D147" s="7" t="s">
        <v>14</v>
      </c>
      <c r="E147" s="7">
        <v>2900</v>
      </c>
      <c r="F147" s="7">
        <v>20</v>
      </c>
      <c r="G147" s="8">
        <f t="shared" si="2"/>
        <v>58000</v>
      </c>
    </row>
    <row r="148" spans="1:7" ht="15.5" x14ac:dyDescent="0.35">
      <c r="A148" s="3">
        <v>44415</v>
      </c>
      <c r="B148" s="4" t="s">
        <v>19</v>
      </c>
      <c r="C148" s="4" t="s">
        <v>20</v>
      </c>
      <c r="D148" s="4" t="s">
        <v>18</v>
      </c>
      <c r="E148" s="4">
        <v>33000</v>
      </c>
      <c r="F148" s="4">
        <v>16</v>
      </c>
      <c r="G148" s="5">
        <f t="shared" si="2"/>
        <v>528000</v>
      </c>
    </row>
    <row r="149" spans="1:7" ht="15.5" x14ac:dyDescent="0.35">
      <c r="A149" s="6">
        <v>44419</v>
      </c>
      <c r="B149" s="7" t="s">
        <v>10</v>
      </c>
      <c r="C149" s="7" t="s">
        <v>20</v>
      </c>
      <c r="D149" s="7" t="s">
        <v>11</v>
      </c>
      <c r="E149" s="7">
        <v>22000</v>
      </c>
      <c r="F149" s="7">
        <v>17</v>
      </c>
      <c r="G149" s="8">
        <f t="shared" si="2"/>
        <v>374000</v>
      </c>
    </row>
    <row r="150" spans="1:7" ht="15.5" x14ac:dyDescent="0.35">
      <c r="A150" s="3">
        <v>44423</v>
      </c>
      <c r="B150" s="4" t="s">
        <v>10</v>
      </c>
      <c r="C150" s="4" t="s">
        <v>22</v>
      </c>
      <c r="D150" s="4" t="s">
        <v>11</v>
      </c>
      <c r="E150" s="4">
        <v>45000</v>
      </c>
      <c r="F150" s="4">
        <v>50</v>
      </c>
      <c r="G150" s="5">
        <f t="shared" si="2"/>
        <v>2250000</v>
      </c>
    </row>
    <row r="151" spans="1:7" ht="15.5" x14ac:dyDescent="0.35">
      <c r="A151" s="6">
        <v>44427</v>
      </c>
      <c r="B151" s="7" t="s">
        <v>19</v>
      </c>
      <c r="C151" s="7" t="s">
        <v>16</v>
      </c>
      <c r="D151" s="7" t="s">
        <v>14</v>
      </c>
      <c r="E151" s="7">
        <v>499</v>
      </c>
      <c r="F151" s="7">
        <v>4</v>
      </c>
      <c r="G151" s="8">
        <f t="shared" si="2"/>
        <v>1996</v>
      </c>
    </row>
    <row r="152" spans="1:7" ht="15.5" x14ac:dyDescent="0.35">
      <c r="A152" s="3">
        <v>44431</v>
      </c>
      <c r="B152" s="4" t="s">
        <v>23</v>
      </c>
      <c r="C152" s="4" t="s">
        <v>22</v>
      </c>
      <c r="D152" s="4" t="s">
        <v>18</v>
      </c>
      <c r="E152" s="4">
        <v>590</v>
      </c>
      <c r="F152" s="4">
        <v>43</v>
      </c>
      <c r="G152" s="5">
        <f t="shared" si="2"/>
        <v>25370</v>
      </c>
    </row>
    <row r="153" spans="1:7" ht="15.5" x14ac:dyDescent="0.35">
      <c r="A153" s="6">
        <v>44435</v>
      </c>
      <c r="B153" s="7" t="s">
        <v>12</v>
      </c>
      <c r="C153" s="7" t="s">
        <v>22</v>
      </c>
      <c r="D153" s="7" t="s">
        <v>11</v>
      </c>
      <c r="E153" s="7">
        <v>590</v>
      </c>
      <c r="F153" s="7">
        <v>42</v>
      </c>
      <c r="G153" s="8">
        <f t="shared" si="2"/>
        <v>24780</v>
      </c>
    </row>
    <row r="154" spans="1:7" ht="15.5" x14ac:dyDescent="0.35">
      <c r="A154" s="3">
        <v>44439</v>
      </c>
      <c r="B154" s="4" t="s">
        <v>15</v>
      </c>
      <c r="C154" s="4" t="s">
        <v>17</v>
      </c>
      <c r="D154" s="4" t="s">
        <v>9</v>
      </c>
      <c r="E154" s="4">
        <v>12000</v>
      </c>
      <c r="F154" s="4">
        <v>9</v>
      </c>
      <c r="G154" s="5">
        <f t="shared" si="2"/>
        <v>108000</v>
      </c>
    </row>
    <row r="155" spans="1:7" ht="15.5" x14ac:dyDescent="0.35">
      <c r="A155" s="6">
        <v>44443</v>
      </c>
      <c r="B155" s="7" t="s">
        <v>19</v>
      </c>
      <c r="C155" s="7" t="s">
        <v>20</v>
      </c>
      <c r="D155" s="7" t="s">
        <v>24</v>
      </c>
      <c r="E155" s="7">
        <v>52000</v>
      </c>
      <c r="F155" s="7">
        <v>40</v>
      </c>
      <c r="G155" s="8">
        <f t="shared" si="2"/>
        <v>2080000</v>
      </c>
    </row>
    <row r="156" spans="1:7" ht="15.5" x14ac:dyDescent="0.35">
      <c r="A156" s="3">
        <v>44447</v>
      </c>
      <c r="B156" s="4" t="s">
        <v>19</v>
      </c>
      <c r="C156" s="4" t="s">
        <v>13</v>
      </c>
      <c r="D156" s="4" t="s">
        <v>18</v>
      </c>
      <c r="E156" s="4">
        <v>7999</v>
      </c>
      <c r="F156" s="4">
        <v>14</v>
      </c>
      <c r="G156" s="5">
        <f t="shared" si="2"/>
        <v>111986</v>
      </c>
    </row>
    <row r="157" spans="1:7" ht="15.5" x14ac:dyDescent="0.35">
      <c r="A157" s="6">
        <v>44451</v>
      </c>
      <c r="B157" s="7" t="s">
        <v>10</v>
      </c>
      <c r="C157" s="7" t="s">
        <v>13</v>
      </c>
      <c r="D157" s="7" t="s">
        <v>21</v>
      </c>
      <c r="E157" s="7">
        <v>5000</v>
      </c>
      <c r="F157" s="7">
        <v>9</v>
      </c>
      <c r="G157" s="8">
        <f t="shared" si="2"/>
        <v>45000</v>
      </c>
    </row>
    <row r="158" spans="1:7" ht="15.5" x14ac:dyDescent="0.35">
      <c r="A158" s="3">
        <v>44455</v>
      </c>
      <c r="B158" s="4" t="s">
        <v>19</v>
      </c>
      <c r="C158" s="4" t="s">
        <v>20</v>
      </c>
      <c r="D158" s="4" t="s">
        <v>18</v>
      </c>
      <c r="E158" s="4">
        <v>79999</v>
      </c>
      <c r="F158" s="4">
        <v>10</v>
      </c>
      <c r="G158" s="5">
        <f t="shared" si="2"/>
        <v>799990</v>
      </c>
    </row>
    <row r="159" spans="1:7" ht="15.5" x14ac:dyDescent="0.35">
      <c r="A159" s="6">
        <v>44459</v>
      </c>
      <c r="B159" s="7" t="s">
        <v>23</v>
      </c>
      <c r="C159" s="7" t="s">
        <v>16</v>
      </c>
      <c r="D159" s="7" t="s">
        <v>14</v>
      </c>
      <c r="E159" s="7">
        <v>1999</v>
      </c>
      <c r="F159" s="7">
        <v>37</v>
      </c>
      <c r="G159" s="8">
        <f t="shared" si="2"/>
        <v>73963</v>
      </c>
    </row>
    <row r="160" spans="1:7" ht="15.5" x14ac:dyDescent="0.35">
      <c r="A160" s="3">
        <v>44463</v>
      </c>
      <c r="B160" s="4" t="s">
        <v>19</v>
      </c>
      <c r="C160" s="4" t="s">
        <v>20</v>
      </c>
      <c r="D160" s="4" t="s">
        <v>18</v>
      </c>
      <c r="E160" s="4">
        <v>89999</v>
      </c>
      <c r="F160" s="4">
        <v>29</v>
      </c>
      <c r="G160" s="5">
        <f t="shared" si="2"/>
        <v>2609971</v>
      </c>
    </row>
    <row r="161" spans="1:7" ht="15.5" x14ac:dyDescent="0.35">
      <c r="A161" s="6">
        <v>44467</v>
      </c>
      <c r="B161" s="7" t="s">
        <v>12</v>
      </c>
      <c r="C161" s="7" t="s">
        <v>20</v>
      </c>
      <c r="D161" s="7" t="s">
        <v>9</v>
      </c>
      <c r="E161" s="7">
        <v>799</v>
      </c>
      <c r="F161" s="7">
        <v>44</v>
      </c>
      <c r="G161" s="8">
        <f t="shared" si="2"/>
        <v>35156</v>
      </c>
    </row>
    <row r="162" spans="1:7" ht="15.5" x14ac:dyDescent="0.35">
      <c r="A162" s="3">
        <v>44471</v>
      </c>
      <c r="B162" s="4" t="s">
        <v>19</v>
      </c>
      <c r="C162" s="4" t="s">
        <v>20</v>
      </c>
      <c r="D162" s="4" t="s">
        <v>11</v>
      </c>
      <c r="E162" s="4">
        <v>3990</v>
      </c>
      <c r="F162" s="4">
        <v>31</v>
      </c>
      <c r="G162" s="5">
        <f t="shared" si="2"/>
        <v>123690</v>
      </c>
    </row>
    <row r="163" spans="1:7" ht="15.5" x14ac:dyDescent="0.35">
      <c r="A163" s="6">
        <v>44475</v>
      </c>
      <c r="B163" s="7" t="s">
        <v>10</v>
      </c>
      <c r="C163" s="7" t="s">
        <v>20</v>
      </c>
      <c r="D163" s="7" t="s">
        <v>14</v>
      </c>
      <c r="E163" s="7">
        <v>52000</v>
      </c>
      <c r="F163" s="7">
        <v>29</v>
      </c>
      <c r="G163" s="8">
        <f t="shared" si="2"/>
        <v>1508000</v>
      </c>
    </row>
    <row r="164" spans="1:7" ht="15.5" x14ac:dyDescent="0.35">
      <c r="A164" s="3">
        <v>44479</v>
      </c>
      <c r="B164" s="4" t="s">
        <v>10</v>
      </c>
      <c r="C164" s="4" t="s">
        <v>8</v>
      </c>
      <c r="D164" s="4" t="s">
        <v>18</v>
      </c>
      <c r="E164" s="4">
        <v>13999</v>
      </c>
      <c r="F164" s="4">
        <v>34</v>
      </c>
      <c r="G164" s="5">
        <f t="shared" si="2"/>
        <v>475966</v>
      </c>
    </row>
    <row r="165" spans="1:7" ht="15.5" x14ac:dyDescent="0.35">
      <c r="A165" s="6">
        <v>44483</v>
      </c>
      <c r="B165" s="7" t="s">
        <v>15</v>
      </c>
      <c r="C165" s="7" t="s">
        <v>17</v>
      </c>
      <c r="D165" s="7" t="s">
        <v>14</v>
      </c>
      <c r="E165" s="7">
        <v>14500</v>
      </c>
      <c r="F165" s="7">
        <v>29</v>
      </c>
      <c r="G165" s="8">
        <f t="shared" si="2"/>
        <v>420500</v>
      </c>
    </row>
    <row r="166" spans="1:7" ht="15.5" x14ac:dyDescent="0.35">
      <c r="A166" s="3">
        <v>44487</v>
      </c>
      <c r="B166" s="4" t="s">
        <v>19</v>
      </c>
      <c r="C166" s="4" t="s">
        <v>13</v>
      </c>
      <c r="D166" s="4" t="s">
        <v>24</v>
      </c>
      <c r="E166" s="4">
        <v>23999</v>
      </c>
      <c r="F166" s="4">
        <v>25</v>
      </c>
      <c r="G166" s="5">
        <f t="shared" si="2"/>
        <v>599975</v>
      </c>
    </row>
    <row r="167" spans="1:7" ht="15.5" x14ac:dyDescent="0.35">
      <c r="A167" s="6">
        <v>44491</v>
      </c>
      <c r="B167" s="7" t="s">
        <v>19</v>
      </c>
      <c r="C167" s="7" t="s">
        <v>13</v>
      </c>
      <c r="D167" s="7" t="s">
        <v>18</v>
      </c>
      <c r="E167" s="7">
        <v>1250</v>
      </c>
      <c r="F167" s="7">
        <v>31</v>
      </c>
      <c r="G167" s="8">
        <f t="shared" si="2"/>
        <v>38750</v>
      </c>
    </row>
    <row r="168" spans="1:7" ht="15.5" x14ac:dyDescent="0.35">
      <c r="A168" s="3">
        <v>44495</v>
      </c>
      <c r="B168" s="4" t="s">
        <v>23</v>
      </c>
      <c r="C168" s="4" t="s">
        <v>16</v>
      </c>
      <c r="D168" s="4" t="s">
        <v>18</v>
      </c>
      <c r="E168" s="4">
        <v>35600</v>
      </c>
      <c r="F168" s="4">
        <v>16</v>
      </c>
      <c r="G168" s="5">
        <f t="shared" si="2"/>
        <v>569600</v>
      </c>
    </row>
    <row r="169" spans="1:7" ht="15.5" x14ac:dyDescent="0.35">
      <c r="A169" s="6">
        <v>44499</v>
      </c>
      <c r="B169" s="7" t="s">
        <v>15</v>
      </c>
      <c r="C169" s="7" t="s">
        <v>17</v>
      </c>
      <c r="D169" s="7" t="s">
        <v>18</v>
      </c>
      <c r="E169" s="7">
        <v>65000</v>
      </c>
      <c r="F169" s="7">
        <v>48</v>
      </c>
      <c r="G169" s="8">
        <f t="shared" si="2"/>
        <v>3120000</v>
      </c>
    </row>
    <row r="170" spans="1:7" ht="15.5" x14ac:dyDescent="0.35">
      <c r="A170" s="3">
        <v>44503</v>
      </c>
      <c r="B170" s="4" t="s">
        <v>12</v>
      </c>
      <c r="C170" s="4" t="s">
        <v>17</v>
      </c>
      <c r="D170" s="4" t="s">
        <v>24</v>
      </c>
      <c r="E170" s="4">
        <v>12000</v>
      </c>
      <c r="F170" s="4">
        <v>22</v>
      </c>
      <c r="G170" s="5">
        <f t="shared" si="2"/>
        <v>264000</v>
      </c>
    </row>
    <row r="171" spans="1:7" ht="15.5" x14ac:dyDescent="0.35">
      <c r="A171" s="6">
        <v>44507</v>
      </c>
      <c r="B171" s="7" t="s">
        <v>23</v>
      </c>
      <c r="C171" s="7" t="s">
        <v>22</v>
      </c>
      <c r="D171" s="7" t="s">
        <v>18</v>
      </c>
      <c r="E171" s="7">
        <v>699</v>
      </c>
      <c r="F171" s="7">
        <v>6</v>
      </c>
      <c r="G171" s="8">
        <f t="shared" si="2"/>
        <v>4194</v>
      </c>
    </row>
    <row r="172" spans="1:7" ht="15.5" x14ac:dyDescent="0.35">
      <c r="A172" s="3">
        <v>44511</v>
      </c>
      <c r="B172" s="4" t="s">
        <v>23</v>
      </c>
      <c r="C172" s="4" t="s">
        <v>16</v>
      </c>
      <c r="D172" s="4" t="s">
        <v>14</v>
      </c>
      <c r="E172" s="4">
        <v>990</v>
      </c>
      <c r="F172" s="4">
        <v>12</v>
      </c>
      <c r="G172" s="5">
        <f t="shared" si="2"/>
        <v>11880</v>
      </c>
    </row>
    <row r="173" spans="1:7" ht="15.5" x14ac:dyDescent="0.35">
      <c r="A173" s="6">
        <v>44515</v>
      </c>
      <c r="B173" s="7" t="s">
        <v>23</v>
      </c>
      <c r="C173" s="7" t="s">
        <v>22</v>
      </c>
      <c r="D173" s="7" t="s">
        <v>9</v>
      </c>
      <c r="E173" s="7">
        <v>450</v>
      </c>
      <c r="F173" s="7">
        <v>44</v>
      </c>
      <c r="G173" s="8">
        <f t="shared" si="2"/>
        <v>19800</v>
      </c>
    </row>
    <row r="174" spans="1:7" ht="15.5" x14ac:dyDescent="0.35">
      <c r="A174" s="3">
        <v>44519</v>
      </c>
      <c r="B174" s="4" t="s">
        <v>23</v>
      </c>
      <c r="C174" s="4" t="s">
        <v>16</v>
      </c>
      <c r="D174" s="4" t="s">
        <v>9</v>
      </c>
      <c r="E174" s="4">
        <v>1499</v>
      </c>
      <c r="F174" s="4">
        <v>15</v>
      </c>
      <c r="G174" s="5">
        <f t="shared" si="2"/>
        <v>22485</v>
      </c>
    </row>
    <row r="175" spans="1:7" ht="15.5" x14ac:dyDescent="0.35">
      <c r="A175" s="6">
        <v>44523</v>
      </c>
      <c r="B175" s="7" t="s">
        <v>7</v>
      </c>
      <c r="C175" s="7" t="s">
        <v>8</v>
      </c>
      <c r="D175" s="7" t="s">
        <v>21</v>
      </c>
      <c r="E175" s="7">
        <v>499</v>
      </c>
      <c r="F175" s="7">
        <v>26</v>
      </c>
      <c r="G175" s="8">
        <f t="shared" si="2"/>
        <v>12974</v>
      </c>
    </row>
    <row r="176" spans="1:7" ht="15.5" x14ac:dyDescent="0.35">
      <c r="A176" s="3">
        <v>44527</v>
      </c>
      <c r="B176" s="4" t="s">
        <v>19</v>
      </c>
      <c r="C176" s="4" t="s">
        <v>13</v>
      </c>
      <c r="D176" s="4" t="s">
        <v>21</v>
      </c>
      <c r="E176" s="4">
        <v>960</v>
      </c>
      <c r="F176" s="4">
        <v>16</v>
      </c>
      <c r="G176" s="5">
        <f t="shared" si="2"/>
        <v>15360</v>
      </c>
    </row>
    <row r="177" spans="1:7" ht="15.5" x14ac:dyDescent="0.35">
      <c r="A177" s="6">
        <v>44531</v>
      </c>
      <c r="B177" s="7" t="s">
        <v>12</v>
      </c>
      <c r="C177" s="7" t="s">
        <v>16</v>
      </c>
      <c r="D177" s="7" t="s">
        <v>18</v>
      </c>
      <c r="E177" s="7">
        <v>5599</v>
      </c>
      <c r="F177" s="7">
        <v>35</v>
      </c>
      <c r="G177" s="8">
        <f t="shared" si="2"/>
        <v>195965</v>
      </c>
    </row>
    <row r="178" spans="1:7" ht="15.5" x14ac:dyDescent="0.35">
      <c r="A178" s="3">
        <v>44535</v>
      </c>
      <c r="B178" s="4" t="s">
        <v>15</v>
      </c>
      <c r="C178" s="4" t="s">
        <v>17</v>
      </c>
      <c r="D178" s="4" t="s">
        <v>9</v>
      </c>
      <c r="E178" s="4">
        <v>89</v>
      </c>
      <c r="F178" s="4">
        <v>36</v>
      </c>
      <c r="G178" s="5">
        <f t="shared" si="2"/>
        <v>3204</v>
      </c>
    </row>
    <row r="179" spans="1:7" ht="15.5" x14ac:dyDescent="0.35">
      <c r="A179" s="6">
        <v>44539</v>
      </c>
      <c r="B179" s="7" t="s">
        <v>7</v>
      </c>
      <c r="C179" s="7" t="s">
        <v>8</v>
      </c>
      <c r="D179" s="7" t="s">
        <v>14</v>
      </c>
      <c r="E179" s="7">
        <v>2550</v>
      </c>
      <c r="F179" s="7">
        <v>20</v>
      </c>
      <c r="G179" s="8">
        <f t="shared" si="2"/>
        <v>51000</v>
      </c>
    </row>
    <row r="180" spans="1:7" ht="15.5" x14ac:dyDescent="0.35">
      <c r="A180" s="3">
        <v>44543</v>
      </c>
      <c r="B180" s="4" t="s">
        <v>7</v>
      </c>
      <c r="C180" s="4" t="s">
        <v>8</v>
      </c>
      <c r="D180" s="4" t="s">
        <v>9</v>
      </c>
      <c r="E180" s="4">
        <v>1450</v>
      </c>
      <c r="F180" s="4">
        <v>47</v>
      </c>
      <c r="G180" s="5">
        <f t="shared" si="2"/>
        <v>68150</v>
      </c>
    </row>
    <row r="181" spans="1:7" ht="15.5" x14ac:dyDescent="0.35">
      <c r="A181" s="6">
        <v>44547</v>
      </c>
      <c r="B181" s="7" t="s">
        <v>23</v>
      </c>
      <c r="C181" s="7" t="s">
        <v>22</v>
      </c>
      <c r="D181" s="7" t="s">
        <v>18</v>
      </c>
      <c r="E181" s="7">
        <v>2900</v>
      </c>
      <c r="F181" s="7">
        <v>6</v>
      </c>
      <c r="G181" s="8">
        <f t="shared" si="2"/>
        <v>17400</v>
      </c>
    </row>
    <row r="182" spans="1:7" ht="15.5" x14ac:dyDescent="0.35">
      <c r="A182" s="3">
        <v>44551</v>
      </c>
      <c r="B182" s="4" t="s">
        <v>15</v>
      </c>
      <c r="C182" s="4" t="s">
        <v>17</v>
      </c>
      <c r="D182" s="4" t="s">
        <v>21</v>
      </c>
      <c r="E182" s="4">
        <v>120</v>
      </c>
      <c r="F182" s="4">
        <v>6</v>
      </c>
      <c r="G182" s="5">
        <f t="shared" si="2"/>
        <v>720</v>
      </c>
    </row>
    <row r="183" spans="1:7" ht="15.5" x14ac:dyDescent="0.35">
      <c r="A183" s="6">
        <v>44555</v>
      </c>
      <c r="B183" s="7" t="s">
        <v>19</v>
      </c>
      <c r="C183" s="7" t="s">
        <v>20</v>
      </c>
      <c r="D183" s="7" t="s">
        <v>21</v>
      </c>
      <c r="E183" s="7">
        <v>52000</v>
      </c>
      <c r="F183" s="7">
        <v>41</v>
      </c>
      <c r="G183" s="8">
        <f t="shared" si="2"/>
        <v>2132000</v>
      </c>
    </row>
    <row r="184" spans="1:7" ht="15.5" x14ac:dyDescent="0.35">
      <c r="A184" s="3">
        <v>44559</v>
      </c>
      <c r="B184" s="4" t="s">
        <v>23</v>
      </c>
      <c r="C184" s="4" t="s">
        <v>22</v>
      </c>
      <c r="D184" s="4" t="s">
        <v>14</v>
      </c>
      <c r="E184" s="4">
        <v>590</v>
      </c>
      <c r="F184" s="4">
        <v>29</v>
      </c>
      <c r="G184" s="5">
        <f t="shared" si="2"/>
        <v>17110</v>
      </c>
    </row>
    <row r="185" spans="1:7" ht="15.5" x14ac:dyDescent="0.35">
      <c r="A185" s="6">
        <v>44563</v>
      </c>
      <c r="B185" s="7" t="s">
        <v>19</v>
      </c>
      <c r="C185" s="7" t="s">
        <v>16</v>
      </c>
      <c r="D185" s="7" t="s">
        <v>24</v>
      </c>
      <c r="E185" s="7">
        <v>7999</v>
      </c>
      <c r="F185" s="7">
        <v>31</v>
      </c>
      <c r="G185" s="8">
        <f t="shared" si="2"/>
        <v>247969</v>
      </c>
    </row>
    <row r="186" spans="1:7" ht="15.5" x14ac:dyDescent="0.35">
      <c r="A186" s="3">
        <v>44567</v>
      </c>
      <c r="B186" s="4" t="s">
        <v>10</v>
      </c>
      <c r="C186" s="4" t="s">
        <v>17</v>
      </c>
      <c r="D186" s="4" t="s">
        <v>14</v>
      </c>
      <c r="E186" s="4">
        <v>999</v>
      </c>
      <c r="F186" s="4">
        <v>34</v>
      </c>
      <c r="G186" s="5">
        <f t="shared" si="2"/>
        <v>33966</v>
      </c>
    </row>
    <row r="187" spans="1:7" ht="15.5" x14ac:dyDescent="0.35">
      <c r="A187" s="6">
        <v>44571</v>
      </c>
      <c r="B187" s="7" t="s">
        <v>12</v>
      </c>
      <c r="C187" s="7" t="s">
        <v>22</v>
      </c>
      <c r="D187" s="7" t="s">
        <v>9</v>
      </c>
      <c r="E187" s="7">
        <v>990</v>
      </c>
      <c r="F187" s="7">
        <v>43</v>
      </c>
      <c r="G187" s="8">
        <f t="shared" si="2"/>
        <v>42570</v>
      </c>
    </row>
    <row r="188" spans="1:7" ht="15.5" x14ac:dyDescent="0.35">
      <c r="A188" s="3">
        <v>44575</v>
      </c>
      <c r="B188" s="4" t="s">
        <v>19</v>
      </c>
      <c r="C188" s="4" t="s">
        <v>20</v>
      </c>
      <c r="D188" s="4" t="s">
        <v>9</v>
      </c>
      <c r="E188" s="4">
        <v>11999</v>
      </c>
      <c r="F188" s="4">
        <v>37</v>
      </c>
      <c r="G188" s="5">
        <f t="shared" si="2"/>
        <v>443963</v>
      </c>
    </row>
    <row r="189" spans="1:7" ht="15.5" x14ac:dyDescent="0.35">
      <c r="A189" s="6">
        <v>44579</v>
      </c>
      <c r="B189" s="7" t="s">
        <v>19</v>
      </c>
      <c r="C189" s="7" t="s">
        <v>13</v>
      </c>
      <c r="D189" s="7" t="s">
        <v>9</v>
      </c>
      <c r="E189" s="7">
        <v>960</v>
      </c>
      <c r="F189" s="7">
        <v>7</v>
      </c>
      <c r="G189" s="8">
        <f t="shared" si="2"/>
        <v>6720</v>
      </c>
    </row>
    <row r="190" spans="1:7" ht="15.5" x14ac:dyDescent="0.35">
      <c r="A190" s="3">
        <v>44583</v>
      </c>
      <c r="B190" s="4" t="s">
        <v>7</v>
      </c>
      <c r="C190" s="4" t="s">
        <v>8</v>
      </c>
      <c r="D190" s="4" t="s">
        <v>14</v>
      </c>
      <c r="E190" s="4">
        <v>1450</v>
      </c>
      <c r="F190" s="4">
        <v>19</v>
      </c>
      <c r="G190" s="5">
        <f t="shared" si="2"/>
        <v>27550</v>
      </c>
    </row>
    <row r="191" spans="1:7" ht="15.5" x14ac:dyDescent="0.35">
      <c r="A191" s="6">
        <v>44587</v>
      </c>
      <c r="B191" s="7" t="s">
        <v>23</v>
      </c>
      <c r="C191" s="7" t="s">
        <v>22</v>
      </c>
      <c r="D191" s="7" t="s">
        <v>11</v>
      </c>
      <c r="E191" s="7">
        <v>450</v>
      </c>
      <c r="F191" s="7">
        <v>47</v>
      </c>
      <c r="G191" s="8">
        <f t="shared" si="2"/>
        <v>21150</v>
      </c>
    </row>
    <row r="192" spans="1:7" ht="15.5" x14ac:dyDescent="0.35">
      <c r="A192" s="3">
        <v>44591</v>
      </c>
      <c r="B192" s="4" t="s">
        <v>10</v>
      </c>
      <c r="C192" s="4" t="s">
        <v>22</v>
      </c>
      <c r="D192" s="4" t="s">
        <v>14</v>
      </c>
      <c r="E192" s="4">
        <v>1499</v>
      </c>
      <c r="F192" s="4">
        <v>37</v>
      </c>
      <c r="G192" s="5">
        <f t="shared" si="2"/>
        <v>55463</v>
      </c>
    </row>
    <row r="193" spans="1:7" ht="15.5" x14ac:dyDescent="0.35">
      <c r="A193" s="6">
        <v>44595</v>
      </c>
      <c r="B193" s="7" t="s">
        <v>12</v>
      </c>
      <c r="C193" s="7" t="s">
        <v>20</v>
      </c>
      <c r="D193" s="7" t="s">
        <v>11</v>
      </c>
      <c r="E193" s="7">
        <v>79999</v>
      </c>
      <c r="F193" s="7">
        <v>4</v>
      </c>
      <c r="G193" s="8">
        <f t="shared" si="2"/>
        <v>319996</v>
      </c>
    </row>
    <row r="194" spans="1:7" ht="15.5" x14ac:dyDescent="0.35">
      <c r="A194" s="3">
        <v>44599</v>
      </c>
      <c r="B194" s="4" t="s">
        <v>12</v>
      </c>
      <c r="C194" s="4" t="s">
        <v>17</v>
      </c>
      <c r="D194" s="4" t="s">
        <v>21</v>
      </c>
      <c r="E194" s="4">
        <v>999</v>
      </c>
      <c r="F194" s="4">
        <v>45</v>
      </c>
      <c r="G194" s="5">
        <f t="shared" si="2"/>
        <v>44955</v>
      </c>
    </row>
    <row r="195" spans="1:7" ht="15.5" x14ac:dyDescent="0.35">
      <c r="A195" s="6">
        <v>44603</v>
      </c>
      <c r="B195" s="7" t="s">
        <v>19</v>
      </c>
      <c r="C195" s="7" t="s">
        <v>20</v>
      </c>
      <c r="D195" s="7" t="s">
        <v>9</v>
      </c>
      <c r="E195" s="7">
        <v>52000</v>
      </c>
      <c r="F195" s="7">
        <v>15</v>
      </c>
      <c r="G195" s="8">
        <f t="shared" ref="G195:G258" si="3">E195*F195</f>
        <v>780000</v>
      </c>
    </row>
    <row r="196" spans="1:7" ht="15.5" x14ac:dyDescent="0.35">
      <c r="A196" s="3">
        <v>44607</v>
      </c>
      <c r="B196" s="4" t="s">
        <v>19</v>
      </c>
      <c r="C196" s="4" t="s">
        <v>20</v>
      </c>
      <c r="D196" s="4" t="s">
        <v>18</v>
      </c>
      <c r="E196" s="4">
        <v>52000</v>
      </c>
      <c r="F196" s="4">
        <v>39</v>
      </c>
      <c r="G196" s="5">
        <f t="shared" si="3"/>
        <v>2028000</v>
      </c>
    </row>
    <row r="197" spans="1:7" ht="15.5" x14ac:dyDescent="0.35">
      <c r="A197" s="6">
        <v>44611</v>
      </c>
      <c r="B197" s="7" t="s">
        <v>19</v>
      </c>
      <c r="C197" s="7" t="s">
        <v>13</v>
      </c>
      <c r="D197" s="7" t="s">
        <v>14</v>
      </c>
      <c r="E197" s="7">
        <v>960</v>
      </c>
      <c r="F197" s="7">
        <v>33</v>
      </c>
      <c r="G197" s="8">
        <f t="shared" si="3"/>
        <v>31680</v>
      </c>
    </row>
    <row r="198" spans="1:7" ht="15.5" x14ac:dyDescent="0.35">
      <c r="A198" s="3">
        <v>44615</v>
      </c>
      <c r="B198" s="4" t="s">
        <v>19</v>
      </c>
      <c r="C198" s="4" t="s">
        <v>13</v>
      </c>
      <c r="D198" s="4" t="s">
        <v>14</v>
      </c>
      <c r="E198" s="4">
        <v>1450</v>
      </c>
      <c r="F198" s="4">
        <v>34</v>
      </c>
      <c r="G198" s="5">
        <f t="shared" si="3"/>
        <v>49300</v>
      </c>
    </row>
    <row r="199" spans="1:7" ht="15.5" x14ac:dyDescent="0.35">
      <c r="A199" s="6">
        <v>44619</v>
      </c>
      <c r="B199" s="7" t="s">
        <v>19</v>
      </c>
      <c r="C199" s="7" t="s">
        <v>16</v>
      </c>
      <c r="D199" s="7" t="s">
        <v>18</v>
      </c>
      <c r="E199" s="7">
        <v>2999</v>
      </c>
      <c r="F199" s="7">
        <v>33</v>
      </c>
      <c r="G199" s="8">
        <f t="shared" si="3"/>
        <v>98967</v>
      </c>
    </row>
    <row r="200" spans="1:7" ht="15.5" x14ac:dyDescent="0.35">
      <c r="A200" s="3">
        <v>44623</v>
      </c>
      <c r="B200" s="4" t="s">
        <v>12</v>
      </c>
      <c r="C200" s="4" t="s">
        <v>13</v>
      </c>
      <c r="D200" s="4" t="s">
        <v>21</v>
      </c>
      <c r="E200" s="4">
        <v>1250</v>
      </c>
      <c r="F200" s="4">
        <v>14</v>
      </c>
      <c r="G200" s="5">
        <f t="shared" si="3"/>
        <v>17500</v>
      </c>
    </row>
    <row r="201" spans="1:7" ht="15.5" x14ac:dyDescent="0.35">
      <c r="A201" s="6">
        <v>44627</v>
      </c>
      <c r="B201" s="7" t="s">
        <v>15</v>
      </c>
      <c r="C201" s="7" t="s">
        <v>17</v>
      </c>
      <c r="D201" s="7" t="s">
        <v>9</v>
      </c>
      <c r="E201" s="7">
        <v>120</v>
      </c>
      <c r="F201" s="7">
        <v>41</v>
      </c>
      <c r="G201" s="8">
        <f t="shared" si="3"/>
        <v>4920</v>
      </c>
    </row>
    <row r="202" spans="1:7" ht="15.5" x14ac:dyDescent="0.35">
      <c r="A202" s="3">
        <v>44631</v>
      </c>
      <c r="B202" s="4" t="s">
        <v>10</v>
      </c>
      <c r="C202" s="4" t="s">
        <v>8</v>
      </c>
      <c r="D202" s="4" t="s">
        <v>18</v>
      </c>
      <c r="E202" s="4">
        <v>1450</v>
      </c>
      <c r="F202" s="4">
        <v>22</v>
      </c>
      <c r="G202" s="5">
        <f t="shared" si="3"/>
        <v>31900</v>
      </c>
    </row>
    <row r="203" spans="1:7" ht="15.5" x14ac:dyDescent="0.35">
      <c r="A203" s="6">
        <v>44635</v>
      </c>
      <c r="B203" s="7" t="s">
        <v>10</v>
      </c>
      <c r="C203" s="7" t="s">
        <v>20</v>
      </c>
      <c r="D203" s="7" t="s">
        <v>9</v>
      </c>
      <c r="E203" s="7">
        <v>89999</v>
      </c>
      <c r="F203" s="7">
        <v>15</v>
      </c>
      <c r="G203" s="8">
        <f t="shared" si="3"/>
        <v>1349985</v>
      </c>
    </row>
    <row r="204" spans="1:7" ht="15.5" x14ac:dyDescent="0.35">
      <c r="A204" s="3">
        <v>44639</v>
      </c>
      <c r="B204" s="4" t="s">
        <v>23</v>
      </c>
      <c r="C204" s="4" t="s">
        <v>22</v>
      </c>
      <c r="D204" s="4" t="s">
        <v>14</v>
      </c>
      <c r="E204" s="4">
        <v>1999</v>
      </c>
      <c r="F204" s="4">
        <v>48</v>
      </c>
      <c r="G204" s="5">
        <f t="shared" si="3"/>
        <v>95952</v>
      </c>
    </row>
    <row r="205" spans="1:7" ht="15.5" x14ac:dyDescent="0.35">
      <c r="A205" s="6">
        <v>44643</v>
      </c>
      <c r="B205" s="7" t="s">
        <v>23</v>
      </c>
      <c r="C205" s="7" t="s">
        <v>16</v>
      </c>
      <c r="D205" s="7" t="s">
        <v>18</v>
      </c>
      <c r="E205" s="7">
        <v>2900</v>
      </c>
      <c r="F205" s="7">
        <v>49</v>
      </c>
      <c r="G205" s="8">
        <f t="shared" si="3"/>
        <v>142100</v>
      </c>
    </row>
    <row r="206" spans="1:7" ht="15.5" x14ac:dyDescent="0.35">
      <c r="A206" s="3">
        <v>44647</v>
      </c>
      <c r="B206" s="4" t="s">
        <v>19</v>
      </c>
      <c r="C206" s="4" t="s">
        <v>20</v>
      </c>
      <c r="D206" s="4" t="s">
        <v>21</v>
      </c>
      <c r="E206" s="4">
        <v>700</v>
      </c>
      <c r="F206" s="4">
        <v>50</v>
      </c>
      <c r="G206" s="5">
        <f t="shared" si="3"/>
        <v>35000</v>
      </c>
    </row>
    <row r="207" spans="1:7" ht="15.5" x14ac:dyDescent="0.35">
      <c r="A207" s="6">
        <v>44651</v>
      </c>
      <c r="B207" s="7" t="s">
        <v>15</v>
      </c>
      <c r="C207" s="7" t="s">
        <v>17</v>
      </c>
      <c r="D207" s="7" t="s">
        <v>18</v>
      </c>
      <c r="E207" s="7">
        <v>200</v>
      </c>
      <c r="F207" s="7">
        <v>41</v>
      </c>
      <c r="G207" s="8">
        <f t="shared" si="3"/>
        <v>8200</v>
      </c>
    </row>
    <row r="208" spans="1:7" ht="15.5" x14ac:dyDescent="0.35">
      <c r="A208" s="3">
        <v>44655</v>
      </c>
      <c r="B208" s="4" t="s">
        <v>7</v>
      </c>
      <c r="C208" s="4" t="s">
        <v>8</v>
      </c>
      <c r="D208" s="4" t="s">
        <v>14</v>
      </c>
      <c r="E208" s="4">
        <v>499</v>
      </c>
      <c r="F208" s="4">
        <v>29</v>
      </c>
      <c r="G208" s="5">
        <f t="shared" si="3"/>
        <v>14471</v>
      </c>
    </row>
    <row r="209" spans="1:7" ht="15.5" x14ac:dyDescent="0.35">
      <c r="A209" s="6">
        <v>44659</v>
      </c>
      <c r="B209" s="7" t="s">
        <v>12</v>
      </c>
      <c r="C209" s="7" t="s">
        <v>8</v>
      </c>
      <c r="D209" s="7" t="s">
        <v>24</v>
      </c>
      <c r="E209" s="7">
        <v>5599</v>
      </c>
      <c r="F209" s="7">
        <v>36</v>
      </c>
      <c r="G209" s="8">
        <f t="shared" si="3"/>
        <v>201564</v>
      </c>
    </row>
    <row r="210" spans="1:7" ht="15.5" x14ac:dyDescent="0.35">
      <c r="A210" s="3">
        <v>44663</v>
      </c>
      <c r="B210" s="4" t="s">
        <v>10</v>
      </c>
      <c r="C210" s="4" t="s">
        <v>17</v>
      </c>
      <c r="D210" s="4" t="s">
        <v>18</v>
      </c>
      <c r="E210" s="4">
        <v>100</v>
      </c>
      <c r="F210" s="4">
        <v>39</v>
      </c>
      <c r="G210" s="5">
        <f t="shared" si="3"/>
        <v>3900</v>
      </c>
    </row>
    <row r="211" spans="1:7" ht="15.5" x14ac:dyDescent="0.35">
      <c r="A211" s="6">
        <v>44667</v>
      </c>
      <c r="B211" s="7" t="s">
        <v>19</v>
      </c>
      <c r="C211" s="7" t="s">
        <v>16</v>
      </c>
      <c r="D211" s="7" t="s">
        <v>18</v>
      </c>
      <c r="E211" s="7">
        <v>79999</v>
      </c>
      <c r="F211" s="7">
        <v>9</v>
      </c>
      <c r="G211" s="8">
        <f t="shared" si="3"/>
        <v>719991</v>
      </c>
    </row>
    <row r="212" spans="1:7" ht="15.5" x14ac:dyDescent="0.35">
      <c r="A212" s="3">
        <v>44671</v>
      </c>
      <c r="B212" s="4" t="s">
        <v>12</v>
      </c>
      <c r="C212" s="4" t="s">
        <v>20</v>
      </c>
      <c r="D212" s="4" t="s">
        <v>14</v>
      </c>
      <c r="E212" s="4">
        <v>700</v>
      </c>
      <c r="F212" s="4">
        <v>38</v>
      </c>
      <c r="G212" s="5">
        <f t="shared" si="3"/>
        <v>26600</v>
      </c>
    </row>
    <row r="213" spans="1:7" ht="15.5" x14ac:dyDescent="0.35">
      <c r="A213" s="6">
        <v>44675</v>
      </c>
      <c r="B213" s="7" t="s">
        <v>19</v>
      </c>
      <c r="C213" s="7" t="s">
        <v>13</v>
      </c>
      <c r="D213" s="7" t="s">
        <v>9</v>
      </c>
      <c r="E213" s="7">
        <v>550</v>
      </c>
      <c r="F213" s="7">
        <v>25</v>
      </c>
      <c r="G213" s="8">
        <f t="shared" si="3"/>
        <v>13750</v>
      </c>
    </row>
    <row r="214" spans="1:7" ht="15.5" x14ac:dyDescent="0.35">
      <c r="A214" s="3">
        <v>44679</v>
      </c>
      <c r="B214" s="4" t="s">
        <v>23</v>
      </c>
      <c r="C214" s="4" t="s">
        <v>22</v>
      </c>
      <c r="D214" s="4" t="s">
        <v>18</v>
      </c>
      <c r="E214" s="4">
        <v>1499</v>
      </c>
      <c r="F214" s="4">
        <v>16</v>
      </c>
      <c r="G214" s="5">
        <f t="shared" si="3"/>
        <v>23984</v>
      </c>
    </row>
    <row r="215" spans="1:7" ht="15.5" x14ac:dyDescent="0.35">
      <c r="A215" s="6">
        <v>44683</v>
      </c>
      <c r="B215" s="7" t="s">
        <v>15</v>
      </c>
      <c r="C215" s="7" t="s">
        <v>17</v>
      </c>
      <c r="D215" s="7" t="s">
        <v>21</v>
      </c>
      <c r="E215" s="7">
        <v>120</v>
      </c>
      <c r="F215" s="7">
        <v>22</v>
      </c>
      <c r="G215" s="8">
        <f t="shared" si="3"/>
        <v>2640</v>
      </c>
    </row>
    <row r="216" spans="1:7" ht="15.5" x14ac:dyDescent="0.35">
      <c r="A216" s="3">
        <v>44687</v>
      </c>
      <c r="B216" s="4" t="s">
        <v>7</v>
      </c>
      <c r="C216" s="4" t="s">
        <v>8</v>
      </c>
      <c r="D216" s="4" t="s">
        <v>11</v>
      </c>
      <c r="E216" s="4">
        <v>1450</v>
      </c>
      <c r="F216" s="4">
        <v>20</v>
      </c>
      <c r="G216" s="5">
        <f t="shared" si="3"/>
        <v>29000</v>
      </c>
    </row>
    <row r="217" spans="1:7" ht="15.5" x14ac:dyDescent="0.35">
      <c r="A217" s="6">
        <v>44691</v>
      </c>
      <c r="B217" s="7" t="s">
        <v>23</v>
      </c>
      <c r="C217" s="7" t="s">
        <v>16</v>
      </c>
      <c r="D217" s="7" t="s">
        <v>14</v>
      </c>
      <c r="E217" s="7">
        <v>1999</v>
      </c>
      <c r="F217" s="7">
        <v>23</v>
      </c>
      <c r="G217" s="8">
        <f t="shared" si="3"/>
        <v>45977</v>
      </c>
    </row>
    <row r="218" spans="1:7" ht="15.5" x14ac:dyDescent="0.35">
      <c r="A218" s="3">
        <v>44695</v>
      </c>
      <c r="B218" s="4" t="s">
        <v>7</v>
      </c>
      <c r="C218" s="4" t="s">
        <v>8</v>
      </c>
      <c r="D218" s="4" t="s">
        <v>18</v>
      </c>
      <c r="E218" s="4">
        <v>800</v>
      </c>
      <c r="F218" s="4">
        <v>43</v>
      </c>
      <c r="G218" s="5">
        <f t="shared" si="3"/>
        <v>34400</v>
      </c>
    </row>
    <row r="219" spans="1:7" ht="15.5" x14ac:dyDescent="0.35">
      <c r="A219" s="6">
        <v>44699</v>
      </c>
      <c r="B219" s="7" t="s">
        <v>12</v>
      </c>
      <c r="C219" s="7" t="s">
        <v>17</v>
      </c>
      <c r="D219" s="7" t="s">
        <v>21</v>
      </c>
      <c r="E219" s="7">
        <v>100</v>
      </c>
      <c r="F219" s="7">
        <v>41</v>
      </c>
      <c r="G219" s="8">
        <f t="shared" si="3"/>
        <v>4100</v>
      </c>
    </row>
    <row r="220" spans="1:7" ht="15.5" x14ac:dyDescent="0.35">
      <c r="A220" s="3">
        <v>44703</v>
      </c>
      <c r="B220" s="4" t="s">
        <v>7</v>
      </c>
      <c r="C220" s="4" t="s">
        <v>8</v>
      </c>
      <c r="D220" s="4" t="s">
        <v>14</v>
      </c>
      <c r="E220" s="4">
        <v>13999</v>
      </c>
      <c r="F220" s="4">
        <v>37</v>
      </c>
      <c r="G220" s="5">
        <f t="shared" si="3"/>
        <v>517963</v>
      </c>
    </row>
    <row r="221" spans="1:7" ht="15.5" x14ac:dyDescent="0.35">
      <c r="A221" s="6">
        <v>44707</v>
      </c>
      <c r="B221" s="7" t="s">
        <v>19</v>
      </c>
      <c r="C221" s="7" t="s">
        <v>20</v>
      </c>
      <c r="D221" s="7" t="s">
        <v>18</v>
      </c>
      <c r="E221" s="7">
        <v>22000</v>
      </c>
      <c r="F221" s="7">
        <v>45</v>
      </c>
      <c r="G221" s="8">
        <f t="shared" si="3"/>
        <v>990000</v>
      </c>
    </row>
    <row r="222" spans="1:7" ht="15.5" x14ac:dyDescent="0.35">
      <c r="A222" s="3">
        <v>44711</v>
      </c>
      <c r="B222" s="4" t="s">
        <v>19</v>
      </c>
      <c r="C222" s="4" t="s">
        <v>20</v>
      </c>
      <c r="D222" s="4" t="s">
        <v>24</v>
      </c>
      <c r="E222" s="4">
        <v>89999</v>
      </c>
      <c r="F222" s="4">
        <v>15</v>
      </c>
      <c r="G222" s="5">
        <f t="shared" si="3"/>
        <v>1349985</v>
      </c>
    </row>
    <row r="223" spans="1:7" ht="15.5" x14ac:dyDescent="0.35">
      <c r="A223" s="6">
        <v>44715</v>
      </c>
      <c r="B223" s="7" t="s">
        <v>10</v>
      </c>
      <c r="C223" s="7" t="s">
        <v>16</v>
      </c>
      <c r="D223" s="7" t="s">
        <v>18</v>
      </c>
      <c r="E223" s="7">
        <v>13999</v>
      </c>
      <c r="F223" s="7">
        <v>22</v>
      </c>
      <c r="G223" s="8">
        <f t="shared" si="3"/>
        <v>307978</v>
      </c>
    </row>
    <row r="224" spans="1:7" ht="15.5" x14ac:dyDescent="0.35">
      <c r="A224" s="3">
        <v>44719</v>
      </c>
      <c r="B224" s="4" t="s">
        <v>12</v>
      </c>
      <c r="C224" s="4" t="s">
        <v>22</v>
      </c>
      <c r="D224" s="4" t="s">
        <v>14</v>
      </c>
      <c r="E224" s="4">
        <v>2900</v>
      </c>
      <c r="F224" s="4">
        <v>20</v>
      </c>
      <c r="G224" s="5">
        <f t="shared" si="3"/>
        <v>58000</v>
      </c>
    </row>
    <row r="225" spans="1:7" ht="15.5" x14ac:dyDescent="0.35">
      <c r="A225" s="6">
        <v>44723</v>
      </c>
      <c r="B225" s="7" t="s">
        <v>10</v>
      </c>
      <c r="C225" s="7" t="s">
        <v>20</v>
      </c>
      <c r="D225" s="7" t="s">
        <v>18</v>
      </c>
      <c r="E225" s="7">
        <v>33000</v>
      </c>
      <c r="F225" s="7">
        <v>16</v>
      </c>
      <c r="G225" s="8">
        <f t="shared" si="3"/>
        <v>528000</v>
      </c>
    </row>
    <row r="226" spans="1:7" ht="15.5" x14ac:dyDescent="0.35">
      <c r="A226" s="3">
        <v>44727</v>
      </c>
      <c r="B226" s="4" t="s">
        <v>19</v>
      </c>
      <c r="C226" s="4" t="s">
        <v>16</v>
      </c>
      <c r="D226" s="4" t="s">
        <v>11</v>
      </c>
      <c r="E226" s="4">
        <v>22000</v>
      </c>
      <c r="F226" s="4">
        <v>17</v>
      </c>
      <c r="G226" s="5">
        <f t="shared" si="3"/>
        <v>374000</v>
      </c>
    </row>
    <row r="227" spans="1:7" ht="15.5" x14ac:dyDescent="0.35">
      <c r="A227" s="6">
        <v>44731</v>
      </c>
      <c r="B227" s="7" t="s">
        <v>23</v>
      </c>
      <c r="C227" s="7" t="s">
        <v>22</v>
      </c>
      <c r="D227" s="7" t="s">
        <v>11</v>
      </c>
      <c r="E227" s="7">
        <v>699</v>
      </c>
      <c r="F227" s="7">
        <v>50</v>
      </c>
      <c r="G227" s="8">
        <f t="shared" si="3"/>
        <v>34950</v>
      </c>
    </row>
    <row r="228" spans="1:7" ht="15.5" x14ac:dyDescent="0.35">
      <c r="A228" s="3">
        <v>44735</v>
      </c>
      <c r="B228" s="4" t="s">
        <v>12</v>
      </c>
      <c r="C228" s="4" t="s">
        <v>20</v>
      </c>
      <c r="D228" s="4" t="s">
        <v>14</v>
      </c>
      <c r="E228" s="4">
        <v>499</v>
      </c>
      <c r="F228" s="4">
        <v>4</v>
      </c>
      <c r="G228" s="5">
        <f t="shared" si="3"/>
        <v>1996</v>
      </c>
    </row>
    <row r="229" spans="1:7" ht="15.5" x14ac:dyDescent="0.35">
      <c r="A229" s="6">
        <v>44739</v>
      </c>
      <c r="B229" s="7" t="s">
        <v>23</v>
      </c>
      <c r="C229" s="7" t="s">
        <v>22</v>
      </c>
      <c r="D229" s="7" t="s">
        <v>18</v>
      </c>
      <c r="E229" s="7">
        <v>590</v>
      </c>
      <c r="F229" s="7">
        <v>43</v>
      </c>
      <c r="G229" s="8">
        <f t="shared" si="3"/>
        <v>25370</v>
      </c>
    </row>
    <row r="230" spans="1:7" ht="15.5" x14ac:dyDescent="0.35">
      <c r="A230" s="3">
        <v>44743</v>
      </c>
      <c r="B230" s="4" t="s">
        <v>23</v>
      </c>
      <c r="C230" s="4" t="s">
        <v>22</v>
      </c>
      <c r="D230" s="4" t="s">
        <v>11</v>
      </c>
      <c r="E230" s="4">
        <v>590</v>
      </c>
      <c r="F230" s="4">
        <v>42</v>
      </c>
      <c r="G230" s="5">
        <f t="shared" si="3"/>
        <v>24780</v>
      </c>
    </row>
    <row r="231" spans="1:7" ht="15.5" x14ac:dyDescent="0.35">
      <c r="A231" s="6">
        <v>44747</v>
      </c>
      <c r="B231" s="7" t="s">
        <v>15</v>
      </c>
      <c r="C231" s="7" t="s">
        <v>17</v>
      </c>
      <c r="D231" s="7" t="s">
        <v>9</v>
      </c>
      <c r="E231" s="7">
        <v>120</v>
      </c>
      <c r="F231" s="7">
        <v>9</v>
      </c>
      <c r="G231" s="8">
        <f t="shared" si="3"/>
        <v>1080</v>
      </c>
    </row>
    <row r="232" spans="1:7" ht="15.5" x14ac:dyDescent="0.35">
      <c r="A232" s="3">
        <v>44751</v>
      </c>
      <c r="B232" s="4" t="s">
        <v>12</v>
      </c>
      <c r="C232" s="4" t="s">
        <v>20</v>
      </c>
      <c r="D232" s="4" t="s">
        <v>24</v>
      </c>
      <c r="E232" s="4">
        <v>52000</v>
      </c>
      <c r="F232" s="4">
        <v>40</v>
      </c>
      <c r="G232" s="5">
        <f t="shared" si="3"/>
        <v>2080000</v>
      </c>
    </row>
    <row r="233" spans="1:7" ht="15.5" x14ac:dyDescent="0.35">
      <c r="A233" s="6">
        <v>44755</v>
      </c>
      <c r="B233" s="7" t="s">
        <v>19</v>
      </c>
      <c r="C233" s="7" t="s">
        <v>16</v>
      </c>
      <c r="D233" s="7" t="s">
        <v>18</v>
      </c>
      <c r="E233" s="7">
        <v>7999</v>
      </c>
      <c r="F233" s="7">
        <v>14</v>
      </c>
      <c r="G233" s="8">
        <f t="shared" si="3"/>
        <v>111986</v>
      </c>
    </row>
    <row r="234" spans="1:7" ht="15.5" x14ac:dyDescent="0.35">
      <c r="A234" s="3">
        <v>44759</v>
      </c>
      <c r="B234" s="4" t="s">
        <v>12</v>
      </c>
      <c r="C234" s="4" t="s">
        <v>13</v>
      </c>
      <c r="D234" s="4" t="s">
        <v>21</v>
      </c>
      <c r="E234" s="4">
        <v>550</v>
      </c>
      <c r="F234" s="4">
        <v>9</v>
      </c>
      <c r="G234" s="5">
        <f t="shared" si="3"/>
        <v>4950</v>
      </c>
    </row>
    <row r="235" spans="1:7" ht="15.5" x14ac:dyDescent="0.35">
      <c r="A235" s="6">
        <v>44763</v>
      </c>
      <c r="B235" s="7" t="s">
        <v>19</v>
      </c>
      <c r="C235" s="7" t="s">
        <v>20</v>
      </c>
      <c r="D235" s="7" t="s">
        <v>18</v>
      </c>
      <c r="E235" s="7">
        <v>79999</v>
      </c>
      <c r="F235" s="7">
        <v>10</v>
      </c>
      <c r="G235" s="8">
        <f t="shared" si="3"/>
        <v>799990</v>
      </c>
    </row>
    <row r="236" spans="1:7" ht="15.5" x14ac:dyDescent="0.35">
      <c r="A236" s="3">
        <v>44767</v>
      </c>
      <c r="B236" s="4" t="s">
        <v>10</v>
      </c>
      <c r="C236" s="4" t="s">
        <v>16</v>
      </c>
      <c r="D236" s="4" t="s">
        <v>11</v>
      </c>
      <c r="E236" s="4">
        <v>1999</v>
      </c>
      <c r="F236" s="4">
        <v>37</v>
      </c>
      <c r="G236" s="5">
        <f t="shared" si="3"/>
        <v>73963</v>
      </c>
    </row>
    <row r="237" spans="1:7" ht="15.5" x14ac:dyDescent="0.35">
      <c r="A237" s="6">
        <v>44771</v>
      </c>
      <c r="B237" s="7" t="s">
        <v>12</v>
      </c>
      <c r="C237" s="7" t="s">
        <v>20</v>
      </c>
      <c r="D237" s="7" t="s">
        <v>18</v>
      </c>
      <c r="E237" s="7">
        <v>89999</v>
      </c>
      <c r="F237" s="7">
        <v>29</v>
      </c>
      <c r="G237" s="8">
        <f t="shared" si="3"/>
        <v>2609971</v>
      </c>
    </row>
    <row r="238" spans="1:7" ht="15.5" x14ac:dyDescent="0.35">
      <c r="A238" s="3">
        <v>44775</v>
      </c>
      <c r="B238" s="4" t="s">
        <v>19</v>
      </c>
      <c r="C238" s="4" t="s">
        <v>20</v>
      </c>
      <c r="D238" s="4" t="s">
        <v>9</v>
      </c>
      <c r="E238" s="4">
        <v>799</v>
      </c>
      <c r="F238" s="4">
        <v>44</v>
      </c>
      <c r="G238" s="5">
        <f t="shared" si="3"/>
        <v>35156</v>
      </c>
    </row>
    <row r="239" spans="1:7" ht="15.5" x14ac:dyDescent="0.35">
      <c r="A239" s="6">
        <v>44779</v>
      </c>
      <c r="B239" s="7" t="s">
        <v>19</v>
      </c>
      <c r="C239" s="7" t="s">
        <v>20</v>
      </c>
      <c r="D239" s="7" t="s">
        <v>24</v>
      </c>
      <c r="E239" s="7">
        <v>3990</v>
      </c>
      <c r="F239" s="7">
        <v>31</v>
      </c>
      <c r="G239" s="8">
        <f t="shared" si="3"/>
        <v>123690</v>
      </c>
    </row>
    <row r="240" spans="1:7" ht="15.5" x14ac:dyDescent="0.35">
      <c r="A240" s="3">
        <v>44783</v>
      </c>
      <c r="B240" s="4" t="s">
        <v>12</v>
      </c>
      <c r="C240" s="4" t="s">
        <v>16</v>
      </c>
      <c r="D240" s="4" t="s">
        <v>14</v>
      </c>
      <c r="E240" s="4">
        <v>52000</v>
      </c>
      <c r="F240" s="4">
        <v>29</v>
      </c>
      <c r="G240" s="5">
        <f t="shared" si="3"/>
        <v>1508000</v>
      </c>
    </row>
    <row r="241" spans="1:7" ht="15.5" x14ac:dyDescent="0.35">
      <c r="A241" s="6">
        <v>44787</v>
      </c>
      <c r="B241" s="7" t="s">
        <v>7</v>
      </c>
      <c r="C241" s="7" t="s">
        <v>8</v>
      </c>
      <c r="D241" s="7" t="s">
        <v>18</v>
      </c>
      <c r="E241" s="7">
        <v>13999</v>
      </c>
      <c r="F241" s="7">
        <v>34</v>
      </c>
      <c r="G241" s="8">
        <f t="shared" si="3"/>
        <v>475966</v>
      </c>
    </row>
    <row r="242" spans="1:7" ht="15.5" x14ac:dyDescent="0.35">
      <c r="A242" s="3">
        <v>44791</v>
      </c>
      <c r="B242" s="4" t="s">
        <v>12</v>
      </c>
      <c r="C242" s="4" t="s">
        <v>17</v>
      </c>
      <c r="D242" s="4" t="s">
        <v>14</v>
      </c>
      <c r="E242" s="4">
        <v>120</v>
      </c>
      <c r="F242" s="4">
        <v>29</v>
      </c>
      <c r="G242" s="5">
        <f t="shared" si="3"/>
        <v>3480</v>
      </c>
    </row>
    <row r="243" spans="1:7" ht="15.5" x14ac:dyDescent="0.35">
      <c r="A243" s="6">
        <v>44795</v>
      </c>
      <c r="B243" s="7" t="s">
        <v>19</v>
      </c>
      <c r="C243" s="7" t="s">
        <v>13</v>
      </c>
      <c r="D243" s="7" t="s">
        <v>9</v>
      </c>
      <c r="E243" s="7">
        <v>23999</v>
      </c>
      <c r="F243" s="7">
        <v>25</v>
      </c>
      <c r="G243" s="8">
        <f t="shared" si="3"/>
        <v>599975</v>
      </c>
    </row>
    <row r="244" spans="1:7" ht="15.5" x14ac:dyDescent="0.35">
      <c r="A244" s="3">
        <v>44799</v>
      </c>
      <c r="B244" s="4" t="s">
        <v>12</v>
      </c>
      <c r="C244" s="4" t="s">
        <v>13</v>
      </c>
      <c r="D244" s="4" t="s">
        <v>18</v>
      </c>
      <c r="E244" s="4">
        <v>1250</v>
      </c>
      <c r="F244" s="4">
        <v>31</v>
      </c>
      <c r="G244" s="5">
        <f t="shared" si="3"/>
        <v>38750</v>
      </c>
    </row>
    <row r="245" spans="1:7" ht="15.5" x14ac:dyDescent="0.35">
      <c r="A245" s="6">
        <v>44803</v>
      </c>
      <c r="B245" s="7" t="s">
        <v>23</v>
      </c>
      <c r="C245" s="7" t="s">
        <v>16</v>
      </c>
      <c r="D245" s="7" t="s">
        <v>18</v>
      </c>
      <c r="E245" s="7">
        <v>45000</v>
      </c>
      <c r="F245" s="7">
        <v>16</v>
      </c>
      <c r="G245" s="8">
        <f t="shared" si="3"/>
        <v>720000</v>
      </c>
    </row>
    <row r="246" spans="1:7" ht="15.5" x14ac:dyDescent="0.35">
      <c r="A246" s="3">
        <v>44807</v>
      </c>
      <c r="B246" s="4" t="s">
        <v>10</v>
      </c>
      <c r="C246" s="4" t="s">
        <v>17</v>
      </c>
      <c r="D246" s="4" t="s">
        <v>14</v>
      </c>
      <c r="E246" s="4">
        <v>120</v>
      </c>
      <c r="F246" s="4">
        <v>48</v>
      </c>
      <c r="G246" s="5">
        <f t="shared" si="3"/>
        <v>5760</v>
      </c>
    </row>
    <row r="247" spans="1:7" ht="15.5" x14ac:dyDescent="0.35">
      <c r="A247" s="6">
        <v>44811</v>
      </c>
      <c r="B247" s="7" t="s">
        <v>12</v>
      </c>
      <c r="C247" s="7" t="s">
        <v>16</v>
      </c>
      <c r="D247" s="7" t="s">
        <v>21</v>
      </c>
      <c r="E247" s="7">
        <v>25600</v>
      </c>
      <c r="F247" s="7">
        <v>22</v>
      </c>
      <c r="G247" s="8">
        <f t="shared" si="3"/>
        <v>563200</v>
      </c>
    </row>
    <row r="248" spans="1:7" ht="15.5" x14ac:dyDescent="0.35">
      <c r="A248" s="3">
        <v>44815</v>
      </c>
      <c r="B248" s="4" t="s">
        <v>23</v>
      </c>
      <c r="C248" s="4" t="s">
        <v>22</v>
      </c>
      <c r="D248" s="4" t="s">
        <v>18</v>
      </c>
      <c r="E248" s="4">
        <v>699</v>
      </c>
      <c r="F248" s="4">
        <v>6</v>
      </c>
      <c r="G248" s="5">
        <f t="shared" si="3"/>
        <v>4194</v>
      </c>
    </row>
    <row r="249" spans="1:7" ht="15.5" x14ac:dyDescent="0.35">
      <c r="A249" s="6">
        <v>44819</v>
      </c>
      <c r="B249" s="7" t="s">
        <v>23</v>
      </c>
      <c r="C249" s="7" t="s">
        <v>16</v>
      </c>
      <c r="D249" s="7" t="s">
        <v>14</v>
      </c>
      <c r="E249" s="7">
        <v>99620</v>
      </c>
      <c r="F249" s="7">
        <v>12</v>
      </c>
      <c r="G249" s="8">
        <f t="shared" si="3"/>
        <v>1195440</v>
      </c>
    </row>
    <row r="250" spans="1:7" ht="15.5" x14ac:dyDescent="0.35">
      <c r="A250" s="3">
        <v>44823</v>
      </c>
      <c r="B250" s="4" t="s">
        <v>12</v>
      </c>
      <c r="C250" s="4" t="s">
        <v>22</v>
      </c>
      <c r="D250" s="4" t="s">
        <v>24</v>
      </c>
      <c r="E250" s="4">
        <v>450</v>
      </c>
      <c r="F250" s="4">
        <v>44</v>
      </c>
      <c r="G250" s="5">
        <f t="shared" si="3"/>
        <v>19800</v>
      </c>
    </row>
    <row r="251" spans="1:7" ht="15.5" x14ac:dyDescent="0.35">
      <c r="A251" s="6">
        <v>44827</v>
      </c>
      <c r="B251" s="7" t="s">
        <v>23</v>
      </c>
      <c r="C251" s="7" t="s">
        <v>22</v>
      </c>
      <c r="D251" s="7" t="s">
        <v>14</v>
      </c>
      <c r="E251" s="7">
        <v>1499</v>
      </c>
      <c r="F251" s="7">
        <v>15</v>
      </c>
      <c r="G251" s="8">
        <f t="shared" si="3"/>
        <v>22485</v>
      </c>
    </row>
    <row r="252" spans="1:7" ht="15.5" x14ac:dyDescent="0.35">
      <c r="A252" s="3">
        <v>44831</v>
      </c>
      <c r="B252" s="4" t="s">
        <v>7</v>
      </c>
      <c r="C252" s="4" t="s">
        <v>16</v>
      </c>
      <c r="D252" s="4" t="s">
        <v>21</v>
      </c>
      <c r="E252" s="4">
        <v>49500</v>
      </c>
      <c r="F252" s="4">
        <v>26</v>
      </c>
      <c r="G252" s="5">
        <f t="shared" si="3"/>
        <v>1287000</v>
      </c>
    </row>
    <row r="253" spans="1:7" ht="15.5" x14ac:dyDescent="0.35">
      <c r="A253" s="6">
        <v>44835</v>
      </c>
      <c r="B253" s="7" t="s">
        <v>10</v>
      </c>
      <c r="C253" s="7" t="s">
        <v>13</v>
      </c>
      <c r="D253" s="7" t="s">
        <v>21</v>
      </c>
      <c r="E253" s="7">
        <v>960</v>
      </c>
      <c r="F253" s="7">
        <v>16</v>
      </c>
      <c r="G253" s="8">
        <f t="shared" si="3"/>
        <v>15360</v>
      </c>
    </row>
    <row r="254" spans="1:7" ht="15.5" x14ac:dyDescent="0.35">
      <c r="A254" s="3">
        <v>44839</v>
      </c>
      <c r="B254" s="4" t="s">
        <v>12</v>
      </c>
      <c r="C254" s="4" t="s">
        <v>8</v>
      </c>
      <c r="D254" s="4" t="s">
        <v>18</v>
      </c>
      <c r="E254" s="4">
        <v>5599</v>
      </c>
      <c r="F254" s="4">
        <v>35</v>
      </c>
      <c r="G254" s="5">
        <f t="shared" si="3"/>
        <v>195965</v>
      </c>
    </row>
    <row r="255" spans="1:7" ht="15.5" x14ac:dyDescent="0.35">
      <c r="A255" s="6">
        <v>44843</v>
      </c>
      <c r="B255" s="7" t="s">
        <v>15</v>
      </c>
      <c r="C255" s="7" t="s">
        <v>17</v>
      </c>
      <c r="D255" s="7" t="s">
        <v>9</v>
      </c>
      <c r="E255" s="7">
        <v>89</v>
      </c>
      <c r="F255" s="7">
        <v>36</v>
      </c>
      <c r="G255" s="8">
        <f t="shared" si="3"/>
        <v>3204</v>
      </c>
    </row>
    <row r="256" spans="1:7" ht="15.5" x14ac:dyDescent="0.35">
      <c r="A256" s="3">
        <v>44847</v>
      </c>
      <c r="B256" s="4" t="s">
        <v>7</v>
      </c>
      <c r="C256" s="4" t="s">
        <v>8</v>
      </c>
      <c r="D256" s="4" t="s">
        <v>24</v>
      </c>
      <c r="E256" s="4">
        <v>2550</v>
      </c>
      <c r="F256" s="4">
        <v>20</v>
      </c>
      <c r="G256" s="5">
        <f t="shared" si="3"/>
        <v>51000</v>
      </c>
    </row>
    <row r="257" spans="1:7" ht="15.5" x14ac:dyDescent="0.35">
      <c r="A257" s="6">
        <v>44851</v>
      </c>
      <c r="B257" s="7" t="s">
        <v>12</v>
      </c>
      <c r="C257" s="7" t="s">
        <v>16</v>
      </c>
      <c r="D257" s="7" t="s">
        <v>9</v>
      </c>
      <c r="E257" s="7">
        <v>14500</v>
      </c>
      <c r="F257" s="7">
        <v>47</v>
      </c>
      <c r="G257" s="8">
        <f t="shared" si="3"/>
        <v>681500</v>
      </c>
    </row>
    <row r="258" spans="1:7" ht="15.5" x14ac:dyDescent="0.35">
      <c r="A258" s="3">
        <v>44855</v>
      </c>
      <c r="B258" s="4" t="s">
        <v>23</v>
      </c>
      <c r="C258" s="4" t="s">
        <v>22</v>
      </c>
      <c r="D258" s="4" t="s">
        <v>18</v>
      </c>
      <c r="E258" s="4">
        <v>2900</v>
      </c>
      <c r="F258" s="4">
        <v>6</v>
      </c>
      <c r="G258" s="5">
        <f t="shared" si="3"/>
        <v>17400</v>
      </c>
    </row>
    <row r="259" spans="1:7" ht="15.5" x14ac:dyDescent="0.35">
      <c r="A259" s="6">
        <v>44859</v>
      </c>
      <c r="B259" s="7" t="s">
        <v>15</v>
      </c>
      <c r="C259" s="7" t="s">
        <v>17</v>
      </c>
      <c r="D259" s="7" t="s">
        <v>21</v>
      </c>
      <c r="E259" s="7">
        <v>120</v>
      </c>
      <c r="F259" s="7">
        <v>6</v>
      </c>
      <c r="G259" s="8">
        <f t="shared" ref="G259:G279" si="4">E259*F259</f>
        <v>720</v>
      </c>
    </row>
    <row r="260" spans="1:7" ht="15.5" x14ac:dyDescent="0.35">
      <c r="A260" s="3">
        <v>44863</v>
      </c>
      <c r="B260" s="4" t="s">
        <v>19</v>
      </c>
      <c r="C260" s="4" t="s">
        <v>16</v>
      </c>
      <c r="D260" s="4" t="s">
        <v>14</v>
      </c>
      <c r="E260" s="4">
        <v>52000</v>
      </c>
      <c r="F260" s="4">
        <v>41</v>
      </c>
      <c r="G260" s="5">
        <f t="shared" si="4"/>
        <v>2132000</v>
      </c>
    </row>
    <row r="261" spans="1:7" ht="15.5" x14ac:dyDescent="0.35">
      <c r="A261" s="6">
        <v>44867</v>
      </c>
      <c r="B261" s="7" t="s">
        <v>10</v>
      </c>
      <c r="C261" s="7" t="s">
        <v>22</v>
      </c>
      <c r="D261" s="7" t="s">
        <v>11</v>
      </c>
      <c r="E261" s="7">
        <v>590</v>
      </c>
      <c r="F261" s="7">
        <v>29</v>
      </c>
      <c r="G261" s="8">
        <f t="shared" si="4"/>
        <v>17110</v>
      </c>
    </row>
    <row r="262" spans="1:7" ht="15.5" x14ac:dyDescent="0.35">
      <c r="A262" s="3">
        <v>44871</v>
      </c>
      <c r="B262" s="4" t="s">
        <v>19</v>
      </c>
      <c r="C262" s="4" t="s">
        <v>13</v>
      </c>
      <c r="D262" s="4" t="s">
        <v>21</v>
      </c>
      <c r="E262" s="4">
        <v>7999</v>
      </c>
      <c r="F262" s="4">
        <v>31</v>
      </c>
      <c r="G262" s="5">
        <f t="shared" si="4"/>
        <v>247969</v>
      </c>
    </row>
    <row r="263" spans="1:7" ht="15.5" x14ac:dyDescent="0.35">
      <c r="A263" s="6">
        <v>44875</v>
      </c>
      <c r="B263" s="7" t="s">
        <v>12</v>
      </c>
      <c r="C263" s="7" t="s">
        <v>17</v>
      </c>
      <c r="D263" s="7" t="s">
        <v>11</v>
      </c>
      <c r="E263" s="7">
        <v>999</v>
      </c>
      <c r="F263" s="7">
        <v>34</v>
      </c>
      <c r="G263" s="8">
        <f t="shared" si="4"/>
        <v>33966</v>
      </c>
    </row>
    <row r="264" spans="1:7" ht="15.5" x14ac:dyDescent="0.35">
      <c r="A264" s="3">
        <v>44879</v>
      </c>
      <c r="B264" s="4" t="s">
        <v>23</v>
      </c>
      <c r="C264" s="4" t="s">
        <v>16</v>
      </c>
      <c r="D264" s="4" t="s">
        <v>14</v>
      </c>
      <c r="E264" s="4">
        <v>990</v>
      </c>
      <c r="F264" s="4">
        <v>43</v>
      </c>
      <c r="G264" s="5">
        <f t="shared" si="4"/>
        <v>42570</v>
      </c>
    </row>
    <row r="265" spans="1:7" ht="15.5" x14ac:dyDescent="0.35">
      <c r="A265" s="6">
        <v>44883</v>
      </c>
      <c r="B265" s="7" t="s">
        <v>12</v>
      </c>
      <c r="C265" s="7" t="s">
        <v>20</v>
      </c>
      <c r="D265" s="7" t="s">
        <v>9</v>
      </c>
      <c r="E265" s="7">
        <v>11999</v>
      </c>
      <c r="F265" s="7">
        <v>37</v>
      </c>
      <c r="G265" s="8">
        <f t="shared" si="4"/>
        <v>443963</v>
      </c>
    </row>
    <row r="266" spans="1:7" ht="15.5" x14ac:dyDescent="0.35">
      <c r="A266" s="3">
        <v>44887</v>
      </c>
      <c r="B266" s="4" t="s">
        <v>10</v>
      </c>
      <c r="C266" s="4" t="s">
        <v>13</v>
      </c>
      <c r="D266" s="4" t="s">
        <v>9</v>
      </c>
      <c r="E266" s="4">
        <v>960</v>
      </c>
      <c r="F266" s="4">
        <v>7</v>
      </c>
      <c r="G266" s="5">
        <f t="shared" si="4"/>
        <v>6720</v>
      </c>
    </row>
    <row r="267" spans="1:7" ht="15.5" x14ac:dyDescent="0.35">
      <c r="A267" s="6">
        <v>44891</v>
      </c>
      <c r="B267" s="7" t="s">
        <v>7</v>
      </c>
      <c r="C267" s="7" t="s">
        <v>8</v>
      </c>
      <c r="D267" s="7" t="s">
        <v>14</v>
      </c>
      <c r="E267" s="7">
        <v>1450</v>
      </c>
      <c r="F267" s="7">
        <v>19</v>
      </c>
      <c r="G267" s="8">
        <f t="shared" si="4"/>
        <v>27550</v>
      </c>
    </row>
    <row r="268" spans="1:7" ht="15.5" x14ac:dyDescent="0.35">
      <c r="A268" s="3">
        <v>44895</v>
      </c>
      <c r="B268" s="4" t="s">
        <v>23</v>
      </c>
      <c r="C268" s="4" t="s">
        <v>22</v>
      </c>
      <c r="D268" s="4" t="s">
        <v>11</v>
      </c>
      <c r="E268" s="4">
        <v>450</v>
      </c>
      <c r="F268" s="4">
        <v>47</v>
      </c>
      <c r="G268" s="5">
        <f t="shared" si="4"/>
        <v>21150</v>
      </c>
    </row>
    <row r="269" spans="1:7" ht="15.5" x14ac:dyDescent="0.35">
      <c r="A269" s="6">
        <v>44899</v>
      </c>
      <c r="B269" s="7" t="s">
        <v>12</v>
      </c>
      <c r="C269" s="7" t="s">
        <v>16</v>
      </c>
      <c r="D269" s="7" t="s">
        <v>11</v>
      </c>
      <c r="E269" s="7">
        <v>1499</v>
      </c>
      <c r="F269" s="7">
        <v>37</v>
      </c>
      <c r="G269" s="8">
        <f t="shared" si="4"/>
        <v>55463</v>
      </c>
    </row>
    <row r="270" spans="1:7" ht="15.5" x14ac:dyDescent="0.35">
      <c r="A270" s="3">
        <v>44903</v>
      </c>
      <c r="B270" s="4" t="s">
        <v>19</v>
      </c>
      <c r="C270" s="4" t="s">
        <v>20</v>
      </c>
      <c r="D270" s="4" t="s">
        <v>11</v>
      </c>
      <c r="E270" s="4">
        <v>79999</v>
      </c>
      <c r="F270" s="4">
        <v>4</v>
      </c>
      <c r="G270" s="5">
        <f t="shared" si="4"/>
        <v>319996</v>
      </c>
    </row>
    <row r="271" spans="1:7" ht="15.5" x14ac:dyDescent="0.35">
      <c r="A271" s="6">
        <v>44907</v>
      </c>
      <c r="B271" s="7" t="s">
        <v>12</v>
      </c>
      <c r="C271" s="7" t="s">
        <v>17</v>
      </c>
      <c r="D271" s="7" t="s">
        <v>21</v>
      </c>
      <c r="E271" s="7">
        <v>999</v>
      </c>
      <c r="F271" s="7">
        <v>45</v>
      </c>
      <c r="G271" s="8">
        <f t="shared" si="4"/>
        <v>44955</v>
      </c>
    </row>
    <row r="272" spans="1:7" ht="15.5" x14ac:dyDescent="0.35">
      <c r="A272" s="3">
        <v>44911</v>
      </c>
      <c r="B272" s="4" t="s">
        <v>19</v>
      </c>
      <c r="C272" s="4" t="s">
        <v>20</v>
      </c>
      <c r="D272" s="4" t="s">
        <v>9</v>
      </c>
      <c r="E272" s="4">
        <v>52000</v>
      </c>
      <c r="F272" s="4">
        <v>15</v>
      </c>
      <c r="G272" s="5">
        <f t="shared" si="4"/>
        <v>780000</v>
      </c>
    </row>
    <row r="273" spans="1:7" ht="15.5" x14ac:dyDescent="0.35">
      <c r="A273" s="6">
        <v>44915</v>
      </c>
      <c r="B273" s="7" t="s">
        <v>10</v>
      </c>
      <c r="C273" s="7" t="s">
        <v>20</v>
      </c>
      <c r="D273" s="7" t="s">
        <v>18</v>
      </c>
      <c r="E273" s="7">
        <v>52000</v>
      </c>
      <c r="F273" s="7">
        <v>39</v>
      </c>
      <c r="G273" s="8">
        <f t="shared" si="4"/>
        <v>2028000</v>
      </c>
    </row>
    <row r="274" spans="1:7" ht="15.5" x14ac:dyDescent="0.35">
      <c r="A274" s="3">
        <v>44919</v>
      </c>
      <c r="B274" s="4" t="s">
        <v>12</v>
      </c>
      <c r="C274" s="4" t="s">
        <v>13</v>
      </c>
      <c r="D274" s="4" t="s">
        <v>18</v>
      </c>
      <c r="E274" s="4">
        <v>960</v>
      </c>
      <c r="F274" s="4">
        <v>33</v>
      </c>
      <c r="G274" s="5">
        <f t="shared" si="4"/>
        <v>31680</v>
      </c>
    </row>
    <row r="275" spans="1:7" ht="15.5" x14ac:dyDescent="0.35">
      <c r="A275" s="9">
        <v>44923</v>
      </c>
      <c r="B275" s="10" t="s">
        <v>19</v>
      </c>
      <c r="C275" s="10" t="s">
        <v>13</v>
      </c>
      <c r="D275" s="10" t="s">
        <v>14</v>
      </c>
      <c r="E275" s="10">
        <v>1450</v>
      </c>
      <c r="F275" s="10">
        <v>34</v>
      </c>
      <c r="G275" s="11">
        <f t="shared" si="4"/>
        <v>49300</v>
      </c>
    </row>
    <row r="276" spans="1:7" ht="15.5" x14ac:dyDescent="0.35">
      <c r="A276" s="3">
        <v>44913</v>
      </c>
      <c r="B276" s="4" t="s">
        <v>23</v>
      </c>
      <c r="C276" s="4" t="s">
        <v>22</v>
      </c>
      <c r="D276" s="4" t="s">
        <v>24</v>
      </c>
      <c r="E276" s="4">
        <v>2500</v>
      </c>
      <c r="F276" s="4">
        <v>100</v>
      </c>
      <c r="G276" s="5">
        <f t="shared" si="4"/>
        <v>250000</v>
      </c>
    </row>
    <row r="277" spans="1:7" ht="15.5" x14ac:dyDescent="0.35">
      <c r="A277" s="6">
        <v>44917</v>
      </c>
      <c r="B277" s="7" t="s">
        <v>10</v>
      </c>
      <c r="C277" s="7" t="s">
        <v>16</v>
      </c>
      <c r="D277" s="7" t="s">
        <v>24</v>
      </c>
      <c r="E277" s="7">
        <v>86540</v>
      </c>
      <c r="F277" s="7">
        <v>6</v>
      </c>
      <c r="G277" s="8">
        <f t="shared" si="4"/>
        <v>519240</v>
      </c>
    </row>
    <row r="278" spans="1:7" ht="15.5" x14ac:dyDescent="0.35">
      <c r="A278" s="3">
        <v>44922</v>
      </c>
      <c r="B278" s="4" t="s">
        <v>15</v>
      </c>
      <c r="C278" s="4" t="s">
        <v>17</v>
      </c>
      <c r="D278" s="4" t="s">
        <v>24</v>
      </c>
      <c r="E278" s="4">
        <v>550</v>
      </c>
      <c r="F278" s="4">
        <v>44</v>
      </c>
      <c r="G278" s="5">
        <f t="shared" si="4"/>
        <v>24200</v>
      </c>
    </row>
    <row r="279" spans="1:7" ht="15.5" x14ac:dyDescent="0.35">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1:BW58"/>
  <sheetViews>
    <sheetView topLeftCell="N8" workbookViewId="0">
      <selection activeCell="AC16" sqref="AC16"/>
    </sheetView>
  </sheetViews>
  <sheetFormatPr defaultRowHeight="14.5" x14ac:dyDescent="0.35"/>
  <cols>
    <col min="1" max="1" width="12.453125" customWidth="1"/>
    <col min="2" max="2" width="13.6328125" customWidth="1"/>
    <col min="11" max="11" width="3.26953125" customWidth="1"/>
    <col min="12" max="12" width="12.453125" customWidth="1"/>
    <col min="13" max="13" width="13.6328125" style="16" customWidth="1"/>
    <col min="15" max="15" width="14.90625" customWidth="1"/>
    <col min="16" max="16" width="12.453125" customWidth="1"/>
    <col min="17" max="17" width="11.453125" customWidth="1"/>
    <col min="19" max="19" width="12.453125" customWidth="1"/>
    <col min="20" max="20" width="11.453125" customWidth="1"/>
    <col min="33" max="33" width="12.453125" customWidth="1"/>
    <col min="34" max="34" width="11.453125" customWidth="1"/>
    <col min="35" max="38" width="1.81640625" customWidth="1"/>
    <col min="39" max="53" width="2.81640625" customWidth="1"/>
    <col min="54" max="54" width="12.453125" customWidth="1"/>
    <col min="55" max="55" width="11.453125" customWidth="1"/>
    <col min="56" max="61" width="2.81640625" customWidth="1"/>
    <col min="62" max="62" width="12.453125" customWidth="1"/>
    <col min="63" max="63" width="11.453125" customWidth="1"/>
    <col min="64" max="66" width="2.81640625" customWidth="1"/>
    <col min="67" max="67" width="12.453125" customWidth="1"/>
    <col min="68" max="68" width="11.453125" customWidth="1"/>
    <col min="69" max="73" width="2.81640625" customWidth="1"/>
    <col min="74" max="74" width="12.453125" customWidth="1"/>
    <col min="75" max="75" width="11.453125" customWidth="1"/>
  </cols>
  <sheetData>
    <row r="1" spans="1:75" x14ac:dyDescent="0.35">
      <c r="A1" s="13" t="s">
        <v>25</v>
      </c>
      <c r="B1" t="s">
        <v>39</v>
      </c>
      <c r="L1" s="13" t="s">
        <v>25</v>
      </c>
      <c r="M1" t="s">
        <v>39</v>
      </c>
    </row>
    <row r="2" spans="1:75" x14ac:dyDescent="0.35">
      <c r="A2" s="14" t="s">
        <v>27</v>
      </c>
      <c r="B2" s="15">
        <v>11587825</v>
      </c>
      <c r="L2" s="14" t="s">
        <v>14</v>
      </c>
      <c r="M2" s="15">
        <v>16052685</v>
      </c>
    </row>
    <row r="3" spans="1:75" x14ac:dyDescent="0.35">
      <c r="A3" s="14" t="s">
        <v>28</v>
      </c>
      <c r="B3" s="15">
        <v>9933052</v>
      </c>
      <c r="L3" s="14" t="s">
        <v>21</v>
      </c>
      <c r="M3" s="15">
        <v>16926316</v>
      </c>
      <c r="BO3" s="13" t="s">
        <v>25</v>
      </c>
      <c r="BP3" t="s">
        <v>48</v>
      </c>
    </row>
    <row r="4" spans="1:75" x14ac:dyDescent="0.35">
      <c r="A4" s="14" t="s">
        <v>29</v>
      </c>
      <c r="B4" s="15">
        <v>5651655</v>
      </c>
      <c r="L4" s="14" t="s">
        <v>9</v>
      </c>
      <c r="M4" s="15">
        <v>19179514</v>
      </c>
      <c r="P4" s="13" t="s">
        <v>25</v>
      </c>
      <c r="Q4" t="s">
        <v>48</v>
      </c>
      <c r="BO4" s="14" t="s">
        <v>19</v>
      </c>
      <c r="BP4" s="15">
        <v>1687</v>
      </c>
    </row>
    <row r="5" spans="1:75" x14ac:dyDescent="0.35">
      <c r="A5" s="14" t="s">
        <v>30</v>
      </c>
      <c r="B5" s="15">
        <v>2588013</v>
      </c>
      <c r="L5" s="14" t="s">
        <v>24</v>
      </c>
      <c r="M5" s="15">
        <v>10438408</v>
      </c>
      <c r="P5" s="14" t="s">
        <v>20</v>
      </c>
      <c r="Q5" s="15">
        <v>1615</v>
      </c>
      <c r="BO5" s="14" t="s">
        <v>12</v>
      </c>
      <c r="BP5" s="15">
        <v>1534</v>
      </c>
    </row>
    <row r="6" spans="1:75" x14ac:dyDescent="0.35">
      <c r="A6" s="14" t="s">
        <v>31</v>
      </c>
      <c r="B6" s="15">
        <v>8435834</v>
      </c>
      <c r="L6" s="14" t="s">
        <v>18</v>
      </c>
      <c r="M6" s="15">
        <v>41054876</v>
      </c>
      <c r="P6" s="14" t="s">
        <v>16</v>
      </c>
      <c r="Q6" s="15">
        <v>1503</v>
      </c>
      <c r="AG6" s="13" t="s">
        <v>25</v>
      </c>
      <c r="AH6" t="s">
        <v>48</v>
      </c>
      <c r="BO6" s="14" t="s">
        <v>10</v>
      </c>
      <c r="BP6" s="15">
        <v>1407</v>
      </c>
    </row>
    <row r="7" spans="1:75" x14ac:dyDescent="0.35">
      <c r="A7" s="14" t="s">
        <v>32</v>
      </c>
      <c r="B7" s="15">
        <v>3751547</v>
      </c>
      <c r="L7" s="14" t="s">
        <v>11</v>
      </c>
      <c r="M7" s="15">
        <v>15080094</v>
      </c>
      <c r="P7" s="14" t="s">
        <v>22</v>
      </c>
      <c r="Q7" s="15">
        <v>1457</v>
      </c>
      <c r="AG7" s="14" t="s">
        <v>16</v>
      </c>
      <c r="AH7" s="15">
        <v>1503</v>
      </c>
      <c r="BO7" s="14" t="s">
        <v>15</v>
      </c>
      <c r="BP7" s="15">
        <v>810</v>
      </c>
    </row>
    <row r="8" spans="1:75" x14ac:dyDescent="0.35">
      <c r="A8" s="14" t="s">
        <v>33</v>
      </c>
      <c r="B8" s="15">
        <v>18122063</v>
      </c>
      <c r="L8" s="14" t="s">
        <v>26</v>
      </c>
      <c r="M8" s="15">
        <v>118731893</v>
      </c>
      <c r="P8" s="14" t="s">
        <v>8</v>
      </c>
      <c r="Q8" s="15">
        <v>1233</v>
      </c>
      <c r="S8" s="13" t="s">
        <v>25</v>
      </c>
      <c r="T8" t="s">
        <v>48</v>
      </c>
      <c r="AG8" s="14" t="s">
        <v>8</v>
      </c>
      <c r="AH8" s="15">
        <v>1233</v>
      </c>
      <c r="BO8" s="14" t="s">
        <v>23</v>
      </c>
      <c r="BP8" s="15">
        <v>1285</v>
      </c>
    </row>
    <row r="9" spans="1:75" x14ac:dyDescent="0.35">
      <c r="A9" s="14" t="s">
        <v>34</v>
      </c>
      <c r="B9" s="15">
        <v>10988474</v>
      </c>
      <c r="M9"/>
      <c r="P9" s="14" t="s">
        <v>17</v>
      </c>
      <c r="Q9" s="15">
        <v>1168</v>
      </c>
      <c r="S9" s="14" t="s">
        <v>13</v>
      </c>
      <c r="T9" s="15">
        <v>694</v>
      </c>
      <c r="AG9" s="14" t="s">
        <v>20</v>
      </c>
      <c r="AH9" s="15">
        <v>1615</v>
      </c>
      <c r="BB9" s="13" t="s">
        <v>25</v>
      </c>
      <c r="BC9" t="s">
        <v>48</v>
      </c>
      <c r="BO9" s="14" t="s">
        <v>7</v>
      </c>
      <c r="BP9" s="15">
        <v>947</v>
      </c>
    </row>
    <row r="10" spans="1:75" x14ac:dyDescent="0.35">
      <c r="A10" s="14" t="s">
        <v>35</v>
      </c>
      <c r="B10" s="15">
        <v>13532478</v>
      </c>
      <c r="P10" s="14" t="s">
        <v>13</v>
      </c>
      <c r="Q10" s="15">
        <v>694</v>
      </c>
      <c r="S10" s="14" t="s">
        <v>17</v>
      </c>
      <c r="T10" s="15">
        <v>1168</v>
      </c>
      <c r="AG10" s="14" t="s">
        <v>13</v>
      </c>
      <c r="AH10" s="15">
        <v>694</v>
      </c>
      <c r="BB10" s="14" t="s">
        <v>10</v>
      </c>
      <c r="BC10" s="15">
        <v>1407</v>
      </c>
      <c r="BJ10" s="13" t="s">
        <v>25</v>
      </c>
      <c r="BK10" t="s">
        <v>48</v>
      </c>
      <c r="BO10" s="14" t="s">
        <v>26</v>
      </c>
      <c r="BP10" s="15">
        <v>7670</v>
      </c>
    </row>
    <row r="11" spans="1:75" x14ac:dyDescent="0.35">
      <c r="A11" s="14" t="s">
        <v>36</v>
      </c>
      <c r="B11" s="15">
        <v>16467945</v>
      </c>
      <c r="P11" s="14" t="s">
        <v>26</v>
      </c>
      <c r="Q11" s="15">
        <v>7670</v>
      </c>
      <c r="S11" s="14" t="s">
        <v>8</v>
      </c>
      <c r="T11" s="15">
        <v>1233</v>
      </c>
      <c r="AG11" s="14" t="s">
        <v>17</v>
      </c>
      <c r="AH11" s="15">
        <v>1168</v>
      </c>
      <c r="BB11" s="14" t="s">
        <v>12</v>
      </c>
      <c r="BC11" s="15">
        <v>1534</v>
      </c>
      <c r="BJ11" s="14" t="s">
        <v>15</v>
      </c>
      <c r="BK11" s="15">
        <v>810</v>
      </c>
      <c r="BV11" s="13" t="s">
        <v>25</v>
      </c>
      <c r="BW11" t="s">
        <v>48</v>
      </c>
    </row>
    <row r="12" spans="1:75" x14ac:dyDescent="0.35">
      <c r="A12" s="14" t="s">
        <v>37</v>
      </c>
      <c r="B12" s="15">
        <v>5605463</v>
      </c>
      <c r="S12" s="14" t="s">
        <v>22</v>
      </c>
      <c r="T12" s="15">
        <v>1457</v>
      </c>
      <c r="AG12" s="14" t="s">
        <v>22</v>
      </c>
      <c r="AH12" s="15">
        <v>1457</v>
      </c>
      <c r="BB12" s="14" t="s">
        <v>19</v>
      </c>
      <c r="BC12" s="15">
        <v>1687</v>
      </c>
      <c r="BJ12" s="14" t="s">
        <v>7</v>
      </c>
      <c r="BK12" s="15">
        <v>947</v>
      </c>
      <c r="BV12" s="14" t="s">
        <v>15</v>
      </c>
      <c r="BW12" s="15">
        <v>810</v>
      </c>
    </row>
    <row r="13" spans="1:75" x14ac:dyDescent="0.35">
      <c r="A13" s="14" t="s">
        <v>38</v>
      </c>
      <c r="B13" s="15">
        <v>12067544</v>
      </c>
      <c r="S13" s="14" t="s">
        <v>16</v>
      </c>
      <c r="T13" s="15">
        <v>1503</v>
      </c>
      <c r="AG13" s="14" t="s">
        <v>26</v>
      </c>
      <c r="AH13" s="15">
        <v>7670</v>
      </c>
      <c r="BB13" s="14" t="s">
        <v>26</v>
      </c>
      <c r="BC13" s="15">
        <v>4628</v>
      </c>
      <c r="BJ13" s="14" t="s">
        <v>23</v>
      </c>
      <c r="BK13" s="15">
        <v>1285</v>
      </c>
      <c r="BV13" s="14" t="s">
        <v>7</v>
      </c>
      <c r="BW13" s="15">
        <v>947</v>
      </c>
    </row>
    <row r="14" spans="1:75" x14ac:dyDescent="0.35">
      <c r="A14" s="14" t="s">
        <v>26</v>
      </c>
      <c r="B14" s="15">
        <v>118731893</v>
      </c>
      <c r="L14" s="13" t="s">
        <v>25</v>
      </c>
      <c r="M14" t="s">
        <v>39</v>
      </c>
      <c r="O14" t="s">
        <v>39</v>
      </c>
      <c r="S14" s="14" t="s">
        <v>20</v>
      </c>
      <c r="T14" s="15">
        <v>1615</v>
      </c>
      <c r="BJ14" s="14" t="s">
        <v>26</v>
      </c>
      <c r="BK14" s="15">
        <v>3042</v>
      </c>
      <c r="BV14" s="14" t="s">
        <v>23</v>
      </c>
      <c r="BW14" s="15">
        <v>1285</v>
      </c>
    </row>
    <row r="15" spans="1:75" x14ac:dyDescent="0.35">
      <c r="L15" s="14" t="s">
        <v>16</v>
      </c>
      <c r="M15" s="20">
        <v>0.39442202778658636</v>
      </c>
      <c r="O15" s="15">
        <v>118731893</v>
      </c>
      <c r="Q15" s="17">
        <f>GETPIVOTDATA("Amount",$O$14)</f>
        <v>118731893</v>
      </c>
      <c r="S15" s="14" t="s">
        <v>26</v>
      </c>
      <c r="T15" s="15">
        <v>7670</v>
      </c>
      <c r="BV15" s="14" t="s">
        <v>26</v>
      </c>
      <c r="BW15" s="15">
        <v>3042</v>
      </c>
    </row>
    <row r="16" spans="1:75" x14ac:dyDescent="0.35">
      <c r="L16" s="14" t="s">
        <v>8</v>
      </c>
      <c r="M16" s="20">
        <v>4.4333858974184806E-2</v>
      </c>
    </row>
    <row r="17" spans="12:17" x14ac:dyDescent="0.35">
      <c r="L17" s="14" t="s">
        <v>20</v>
      </c>
      <c r="M17" s="20">
        <v>0.41026059443017554</v>
      </c>
    </row>
    <row r="18" spans="12:17" x14ac:dyDescent="0.35">
      <c r="L18" s="14" t="s">
        <v>13</v>
      </c>
      <c r="M18" s="20">
        <v>2.9676432430838107E-2</v>
      </c>
      <c r="O18" t="s">
        <v>40</v>
      </c>
    </row>
    <row r="19" spans="12:17" x14ac:dyDescent="0.35">
      <c r="L19" s="14" t="s">
        <v>17</v>
      </c>
      <c r="M19" s="20">
        <v>8.7710746766245865E-2</v>
      </c>
      <c r="O19" s="15">
        <v>278</v>
      </c>
      <c r="Q19">
        <f>GETPIVOTDATA("Amount",$O$18)</f>
        <v>278</v>
      </c>
    </row>
    <row r="20" spans="12:17" x14ac:dyDescent="0.35">
      <c r="L20" s="14" t="s">
        <v>22</v>
      </c>
      <c r="M20" s="20">
        <v>3.3596339611969298E-2</v>
      </c>
    </row>
    <row r="21" spans="12:17" x14ac:dyDescent="0.35">
      <c r="L21" s="14" t="s">
        <v>26</v>
      </c>
      <c r="M21" s="20">
        <v>1</v>
      </c>
    </row>
    <row r="22" spans="12:17" x14ac:dyDescent="0.35">
      <c r="M22"/>
    </row>
    <row r="23" spans="12:17" x14ac:dyDescent="0.35">
      <c r="M23"/>
    </row>
    <row r="24" spans="12:17" x14ac:dyDescent="0.35">
      <c r="M24"/>
    </row>
    <row r="25" spans="12:17" x14ac:dyDescent="0.35">
      <c r="M25"/>
    </row>
    <row r="26" spans="12:17" x14ac:dyDescent="0.35">
      <c r="M26"/>
    </row>
    <row r="27" spans="12:17" x14ac:dyDescent="0.35">
      <c r="M27"/>
    </row>
    <row r="28" spans="12:17" x14ac:dyDescent="0.35">
      <c r="M28"/>
    </row>
    <row r="29" spans="12:17" x14ac:dyDescent="0.35">
      <c r="M29"/>
    </row>
    <row r="30" spans="12:17" x14ac:dyDescent="0.35">
      <c r="M30"/>
    </row>
    <row r="31" spans="12:17" x14ac:dyDescent="0.35">
      <c r="M31"/>
    </row>
    <row r="32" spans="12:17" x14ac:dyDescent="0.35">
      <c r="M32"/>
    </row>
    <row r="33" spans="13:13" x14ac:dyDescent="0.35">
      <c r="M33"/>
    </row>
    <row r="34" spans="13:13" x14ac:dyDescent="0.35">
      <c r="M34"/>
    </row>
    <row r="35" spans="13:13" x14ac:dyDescent="0.35">
      <c r="M35"/>
    </row>
    <row r="36" spans="13:13" x14ac:dyDescent="0.35">
      <c r="M36"/>
    </row>
    <row r="37" spans="13:13" x14ac:dyDescent="0.35">
      <c r="M37"/>
    </row>
    <row r="38" spans="13:13" x14ac:dyDescent="0.35">
      <c r="M38"/>
    </row>
    <row r="39" spans="13:13" x14ac:dyDescent="0.35">
      <c r="M39"/>
    </row>
    <row r="40" spans="13:13" x14ac:dyDescent="0.35">
      <c r="M40"/>
    </row>
    <row r="41" spans="13:13" x14ac:dyDescent="0.35">
      <c r="M41"/>
    </row>
    <row r="42" spans="13:13" x14ac:dyDescent="0.35">
      <c r="M42"/>
    </row>
    <row r="43" spans="13:13" x14ac:dyDescent="0.35">
      <c r="M43"/>
    </row>
    <row r="44" spans="13:13" x14ac:dyDescent="0.35">
      <c r="M44"/>
    </row>
    <row r="45" spans="13:13" x14ac:dyDescent="0.35">
      <c r="M45"/>
    </row>
    <row r="46" spans="13:13" x14ac:dyDescent="0.35">
      <c r="M46"/>
    </row>
    <row r="47" spans="13:13" x14ac:dyDescent="0.35">
      <c r="M47"/>
    </row>
    <row r="48" spans="13:13" x14ac:dyDescent="0.35">
      <c r="M48"/>
    </row>
    <row r="49" spans="13:13" x14ac:dyDescent="0.35">
      <c r="M49"/>
    </row>
    <row r="50" spans="13:13" x14ac:dyDescent="0.35">
      <c r="M50"/>
    </row>
    <row r="51" spans="13:13" x14ac:dyDescent="0.35">
      <c r="M51"/>
    </row>
    <row r="52" spans="13:13" x14ac:dyDescent="0.35">
      <c r="M52"/>
    </row>
    <row r="53" spans="13:13" x14ac:dyDescent="0.35">
      <c r="M53"/>
    </row>
    <row r="54" spans="13:13" x14ac:dyDescent="0.35">
      <c r="M54"/>
    </row>
    <row r="55" spans="13:13" x14ac:dyDescent="0.35">
      <c r="M55"/>
    </row>
    <row r="56" spans="13:13" x14ac:dyDescent="0.35">
      <c r="M56"/>
    </row>
    <row r="57" spans="13:13" x14ac:dyDescent="0.35">
      <c r="M57"/>
    </row>
    <row r="58" spans="13:13" x14ac:dyDescent="0.35">
      <c r="M58"/>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B28"/>
  <sheetViews>
    <sheetView showGridLines="0" showRowColHeaders="0" tabSelected="1" topLeftCell="A16" zoomScaleNormal="100" workbookViewId="0">
      <selection activeCell="B8" sqref="B8"/>
    </sheetView>
  </sheetViews>
  <sheetFormatPr defaultRowHeight="14.5" x14ac:dyDescent="0.35"/>
  <cols>
    <col min="1" max="16384" width="8.7265625" style="12"/>
  </cols>
  <sheetData>
    <row r="28" spans="2:2" x14ac:dyDescent="0.35">
      <c r="B28" s="2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85D78-FB17-4FF6-A1AA-3182625003FC}">
  <dimension ref="B28"/>
  <sheetViews>
    <sheetView showGridLines="0" showRowColHeaders="0" topLeftCell="A14" zoomScaleNormal="100" workbookViewId="0"/>
  </sheetViews>
  <sheetFormatPr defaultRowHeight="14.5" x14ac:dyDescent="0.35"/>
  <cols>
    <col min="1" max="16384" width="8.7265625" style="12"/>
  </cols>
  <sheetData>
    <row r="28" spans="2:2" x14ac:dyDescent="0.35">
      <c r="B28" s="21" t="s">
        <v>49</v>
      </c>
    </row>
  </sheetData>
  <hyperlinks>
    <hyperlink ref="B28" location="About!A1" display="About!A1" xr:uid="{3DE2CB4A-1F31-43EB-8FEA-262E54CE4AE7}"/>
  </hyperlink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BF0FE-724B-41C1-9746-870C8B882999}">
  <dimension ref="A1"/>
  <sheetViews>
    <sheetView showGridLines="0" showRowColHeaders="0" topLeftCell="A17" zoomScaleNormal="100" workbookViewId="0"/>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E926-6211-4AC6-AED0-EAE0CFB45CA2}">
  <dimension ref="A1"/>
  <sheetViews>
    <sheetView showGridLines="0" showRowColHeaders="0" topLeftCell="A13" zoomScaleNormal="100" workbookViewId="0"/>
  </sheetViews>
  <sheetFormatPr defaultRowHeight="14.5" x14ac:dyDescent="0.35"/>
  <cols>
    <col min="1" max="16384" width="8.726562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DF2B-35A6-4B96-9F9F-0C41EE817F06}">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E3D83-399F-42E0-BC92-036C46F76289}">
  <dimension ref="A1:G58"/>
  <sheetViews>
    <sheetView topLeftCell="A40" workbookViewId="0">
      <selection activeCell="G56" sqref="G56"/>
    </sheetView>
  </sheetViews>
  <sheetFormatPr defaultRowHeight="13.5" x14ac:dyDescent="0.35"/>
  <cols>
    <col min="1" max="1" width="10.08984375" customWidth="1"/>
    <col min="2" max="2" width="14.6328125" customWidth="1"/>
    <col min="3" max="3" width="10.54296875" customWidth="1"/>
    <col min="4" max="4" width="9.90625" customWidth="1"/>
    <col min="5" max="6" width="8.81640625" customWidth="1"/>
    <col min="7" max="7" width="9.6328125" customWidth="1"/>
  </cols>
  <sheetData>
    <row r="1" spans="1:7" ht="14.5" x14ac:dyDescent="0.35">
      <c r="A1" s="19"/>
    </row>
    <row r="2" spans="1:7" ht="14.5" x14ac:dyDescent="0.35"/>
    <row r="3" spans="1:7" ht="14.5" x14ac:dyDescent="0.35">
      <c r="A3" t="s">
        <v>41</v>
      </c>
      <c r="B3" t="s">
        <v>42</v>
      </c>
      <c r="C3" t="s">
        <v>43</v>
      </c>
      <c r="D3" t="s">
        <v>44</v>
      </c>
      <c r="E3" t="s">
        <v>45</v>
      </c>
      <c r="F3" t="s">
        <v>46</v>
      </c>
      <c r="G3" t="s">
        <v>47</v>
      </c>
    </row>
    <row r="4" spans="1:7" ht="14.5" x14ac:dyDescent="0.35">
      <c r="A4" s="18"/>
    </row>
    <row r="5" spans="1:7" ht="14.5" x14ac:dyDescent="0.35">
      <c r="A5" s="18"/>
    </row>
    <row r="6" spans="1:7" ht="14.5" x14ac:dyDescent="0.35">
      <c r="A6" s="18"/>
    </row>
    <row r="7" spans="1:7" ht="14.5" x14ac:dyDescent="0.35">
      <c r="A7" s="18"/>
    </row>
    <row r="8" spans="1:7" ht="14.5" x14ac:dyDescent="0.35">
      <c r="A8" s="18"/>
    </row>
    <row r="9" spans="1:7" ht="14.5" x14ac:dyDescent="0.35">
      <c r="A9" s="18"/>
    </row>
    <row r="10" spans="1:7" ht="14.5" x14ac:dyDescent="0.35">
      <c r="A10" s="18"/>
    </row>
    <row r="11" spans="1:7" ht="14.5" x14ac:dyDescent="0.35">
      <c r="A11" s="18"/>
    </row>
    <row r="12" spans="1:7" ht="14.5" x14ac:dyDescent="0.35">
      <c r="A12" s="18"/>
    </row>
    <row r="13" spans="1:7" ht="14.5" x14ac:dyDescent="0.35">
      <c r="A13" s="18"/>
    </row>
    <row r="14" spans="1:7" ht="14.5" x14ac:dyDescent="0.35">
      <c r="A14" s="18"/>
    </row>
    <row r="15" spans="1:7" ht="14.5" x14ac:dyDescent="0.35">
      <c r="A15" s="18"/>
    </row>
    <row r="16" spans="1:7" ht="14.5" x14ac:dyDescent="0.35">
      <c r="A16" s="18"/>
    </row>
    <row r="17" spans="1:1" ht="14.5" x14ac:dyDescent="0.35">
      <c r="A17" s="18"/>
    </row>
    <row r="18" spans="1:1" ht="14.5" x14ac:dyDescent="0.35">
      <c r="A18" s="18"/>
    </row>
    <row r="19" spans="1:1" ht="14.5" x14ac:dyDescent="0.35">
      <c r="A19" s="18"/>
    </row>
    <row r="20" spans="1:1" ht="14.5" x14ac:dyDescent="0.35">
      <c r="A20" s="18"/>
    </row>
    <row r="21" spans="1:1" ht="14.5" x14ac:dyDescent="0.35">
      <c r="A21" s="18"/>
    </row>
    <row r="22" spans="1:1" ht="14.5" x14ac:dyDescent="0.35">
      <c r="A22" s="18"/>
    </row>
    <row r="23" spans="1:1" ht="14.5" x14ac:dyDescent="0.35">
      <c r="A23" s="18"/>
    </row>
    <row r="24" spans="1:1" ht="14.5" x14ac:dyDescent="0.35">
      <c r="A24" s="18"/>
    </row>
    <row r="25" spans="1:1" ht="14.5" x14ac:dyDescent="0.35">
      <c r="A25" s="18"/>
    </row>
    <row r="26" spans="1:1" ht="14.5" x14ac:dyDescent="0.35">
      <c r="A26" s="18"/>
    </row>
    <row r="27" spans="1:1" ht="14.5" x14ac:dyDescent="0.35">
      <c r="A27" s="18"/>
    </row>
    <row r="28" spans="1:1" ht="14.5" x14ac:dyDescent="0.35">
      <c r="A28" s="18"/>
    </row>
    <row r="29" spans="1:1" ht="14.5" x14ac:dyDescent="0.35">
      <c r="A29" s="18"/>
    </row>
    <row r="30" spans="1:1" ht="14.5" x14ac:dyDescent="0.35">
      <c r="A30" s="18"/>
    </row>
    <row r="31" spans="1:1" ht="14.5" x14ac:dyDescent="0.35">
      <c r="A31" s="18"/>
    </row>
    <row r="32" spans="1:1" ht="14.5" x14ac:dyDescent="0.35">
      <c r="A32" s="18"/>
    </row>
    <row r="33" spans="1:1" ht="14.5" x14ac:dyDescent="0.35">
      <c r="A33" s="18"/>
    </row>
    <row r="34" spans="1:1" ht="14.5" x14ac:dyDescent="0.35">
      <c r="A34" s="18"/>
    </row>
    <row r="35" spans="1:1" ht="14.5" x14ac:dyDescent="0.35">
      <c r="A35" s="18"/>
    </row>
    <row r="36" spans="1:1" ht="14.5" x14ac:dyDescent="0.35">
      <c r="A36" s="18"/>
    </row>
    <row r="37" spans="1:1" ht="14.5" x14ac:dyDescent="0.35">
      <c r="A37" s="18"/>
    </row>
    <row r="38" spans="1:1" ht="14.5" x14ac:dyDescent="0.35">
      <c r="A38" s="18"/>
    </row>
    <row r="39" spans="1:1" ht="14.5" x14ac:dyDescent="0.35">
      <c r="A39" s="18"/>
    </row>
    <row r="40" spans="1:1" ht="14.5" x14ac:dyDescent="0.35">
      <c r="A40" s="18"/>
    </row>
    <row r="41" spans="1:1" ht="14.5" x14ac:dyDescent="0.35">
      <c r="A41" s="18"/>
    </row>
    <row r="42" spans="1:1" ht="14.5" x14ac:dyDescent="0.35">
      <c r="A42" s="18"/>
    </row>
    <row r="43" spans="1:1" ht="14.5" x14ac:dyDescent="0.35">
      <c r="A43" s="18"/>
    </row>
    <row r="44" spans="1:1" ht="14.5" x14ac:dyDescent="0.35">
      <c r="A44" s="18"/>
    </row>
    <row r="45" spans="1:1" ht="14.5" x14ac:dyDescent="0.35">
      <c r="A45" s="18"/>
    </row>
    <row r="46" spans="1:1" ht="14.5" x14ac:dyDescent="0.35">
      <c r="A46" s="18"/>
    </row>
    <row r="47" spans="1:1" ht="14.5" x14ac:dyDescent="0.35">
      <c r="A47" s="18"/>
    </row>
    <row r="48" spans="1:1" ht="14.5" x14ac:dyDescent="0.35">
      <c r="A48" s="18"/>
    </row>
    <row r="49" spans="1:1" ht="14.5" x14ac:dyDescent="0.35">
      <c r="A49" s="18"/>
    </row>
    <row r="50" spans="1:1" ht="14.5" x14ac:dyDescent="0.35">
      <c r="A50" s="18"/>
    </row>
    <row r="51" spans="1:1" ht="14.5" x14ac:dyDescent="0.35">
      <c r="A51" s="18"/>
    </row>
    <row r="52" spans="1:1" ht="14.5" x14ac:dyDescent="0.35">
      <c r="A52" s="18"/>
    </row>
    <row r="53" spans="1:1" ht="14.5" x14ac:dyDescent="0.35">
      <c r="A53" s="18"/>
    </row>
    <row r="54" spans="1:1" ht="14.5" x14ac:dyDescent="0.35">
      <c r="A54" s="18"/>
    </row>
    <row r="55" spans="1:1" ht="14.5" x14ac:dyDescent="0.35">
      <c r="A55" s="18"/>
    </row>
    <row r="56" spans="1:1" ht="14.5" x14ac:dyDescent="0.35">
      <c r="A56" s="18"/>
    </row>
    <row r="57" spans="1:1" ht="14.5" x14ac:dyDescent="0.35">
      <c r="A57" s="18"/>
    </row>
    <row r="58" spans="1:1" ht="14.5" x14ac:dyDescent="0.35">
      <c r="A58" s="18"/>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550FD-DFC3-49FF-AC18-468F67A3DAE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pivot table</vt:lpstr>
      <vt:lpstr>Dashboard</vt:lpstr>
      <vt:lpstr>top selling</vt:lpstr>
      <vt:lpstr>salesman</vt:lpstr>
      <vt:lpstr>About</vt:lpstr>
      <vt:lpstr>products</vt:lpstr>
      <vt:lpstr>hh</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ambatijaganreddyj@hotmail.com</cp:lastModifiedBy>
  <dcterms:created xsi:type="dcterms:W3CDTF">2025-01-28T12:35:12Z</dcterms:created>
  <dcterms:modified xsi:type="dcterms:W3CDTF">2026-06-05T11:20:36Z</dcterms:modified>
</cp:coreProperties>
</file>